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es\Desktop\RimH\service-charge-backend\templates\"/>
    </mc:Choice>
  </mc:AlternateContent>
  <xr:revisionPtr revIDLastSave="0" documentId="13_ncr:1_{06528B5B-3C13-459B-B15C-D0F3416A68F7}" xr6:coauthVersionLast="47" xr6:coauthVersionMax="47" xr10:uidLastSave="{00000000-0000-0000-0000-000000000000}"/>
  <bookViews>
    <workbookView xWindow="-120" yWindow="-120" windowWidth="29040" windowHeight="15720" firstSheet="3" activeTab="3" xr2:uid="{3EC3FD9A-0BFA-4D4C-A65E-92466D302C16}"/>
  </bookViews>
  <sheets>
    <sheet name="JANVIER 2026" sheetId="1" state="hidden" r:id="rId1"/>
    <sheet name="FEVRIER 2026" sheetId="4" state="hidden" r:id="rId2"/>
    <sheet name="MARS 2026" sheetId="5" state="hidden" r:id="rId3"/>
    <sheet name="AVRIL 2026" sheetId="6" r:id="rId4"/>
    <sheet name="ETAT NAVETTE 2026" sheetId="2" r:id="rId5"/>
    <sheet name="CONGE 2026" sheetId="3" r:id="rId6"/>
  </sheets>
  <definedNames>
    <definedName name="_xlnm._FilterDatabase" localSheetId="2" hidden="1">'MARS 2026'!$A$3:$T$4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6" l="1"/>
  <c r="H34" i="3" l="1"/>
  <c r="H7" i="3" l="1"/>
  <c r="H26" i="3" l="1"/>
  <c r="T48" i="6" l="1"/>
  <c r="S48" i="6"/>
  <c r="L48" i="6"/>
  <c r="I48" i="6"/>
  <c r="F48" i="6"/>
  <c r="G9" i="3" l="1"/>
  <c r="G5" i="3" l="1"/>
  <c r="Q18" i="3"/>
  <c r="S18" i="3" s="1"/>
  <c r="G8" i="3" l="1"/>
  <c r="G37" i="3" l="1"/>
  <c r="T52" i="5" l="1"/>
  <c r="S52" i="5"/>
  <c r="L52" i="5"/>
  <c r="I52" i="5"/>
  <c r="F52" i="5"/>
  <c r="C52" i="5"/>
  <c r="F45" i="3" l="1"/>
  <c r="E45" i="3"/>
  <c r="T48" i="4" l="1"/>
  <c r="S48" i="4"/>
  <c r="L48" i="4"/>
  <c r="I48" i="4"/>
  <c r="F48" i="4"/>
  <c r="C48" i="4"/>
  <c r="Q28" i="3" l="1"/>
  <c r="S28" i="3" s="1"/>
  <c r="C46" i="1" l="1"/>
  <c r="R45" i="3" l="1"/>
  <c r="Q44" i="3" l="1"/>
  <c r="T43" i="3"/>
  <c r="U43" i="3" s="1"/>
  <c r="Q43" i="3"/>
  <c r="S43" i="3" s="1"/>
  <c r="Q42" i="3"/>
  <c r="Q41" i="3"/>
  <c r="T40" i="3"/>
  <c r="Q40" i="3"/>
  <c r="T39" i="3"/>
  <c r="Q39" i="3"/>
  <c r="T38" i="3"/>
  <c r="Q38" i="3"/>
  <c r="T37" i="3"/>
  <c r="Q37" i="3"/>
  <c r="T36" i="3"/>
  <c r="Q36" i="3"/>
  <c r="Q35" i="3"/>
  <c r="Q34" i="3"/>
  <c r="Q33" i="3"/>
  <c r="U33" i="3" s="1"/>
  <c r="Q32" i="3"/>
  <c r="T31" i="3"/>
  <c r="Q31" i="3"/>
  <c r="Q30" i="3"/>
  <c r="Q29" i="3"/>
  <c r="T27" i="3"/>
  <c r="Q27" i="3"/>
  <c r="T26" i="3"/>
  <c r="Q26" i="3"/>
  <c r="S26" i="3" s="1"/>
  <c r="T25" i="3"/>
  <c r="Q25" i="3"/>
  <c r="T24" i="3"/>
  <c r="Q24" i="3"/>
  <c r="Q23" i="3"/>
  <c r="T22" i="3"/>
  <c r="Q22" i="3"/>
  <c r="T21" i="3"/>
  <c r="Q21" i="3"/>
  <c r="Q20" i="3"/>
  <c r="U19" i="3"/>
  <c r="T17" i="3"/>
  <c r="U17" i="3" s="1"/>
  <c r="Q17" i="3"/>
  <c r="S17" i="3" s="1"/>
  <c r="T16" i="3"/>
  <c r="Q16" i="3"/>
  <c r="S16" i="3" s="1"/>
  <c r="T15" i="3"/>
  <c r="Q15" i="3"/>
  <c r="T14" i="3"/>
  <c r="Q14" i="3"/>
  <c r="S14" i="3" s="1"/>
  <c r="T13" i="3"/>
  <c r="Q13" i="3"/>
  <c r="S13" i="3" s="1"/>
  <c r="Q12" i="3"/>
  <c r="Q11" i="3"/>
  <c r="Q10" i="3"/>
  <c r="Q9" i="3"/>
  <c r="Q8" i="3"/>
  <c r="Q7" i="3"/>
  <c r="Q6" i="3"/>
  <c r="Q5" i="3"/>
  <c r="Q4" i="3"/>
  <c r="Q3" i="3"/>
  <c r="T46" i="1"/>
  <c r="S46" i="1"/>
  <c r="L46" i="1"/>
  <c r="I46" i="1"/>
  <c r="F46" i="1"/>
  <c r="U23" i="3" l="1"/>
  <c r="S23" i="3"/>
  <c r="U14" i="3"/>
  <c r="U32" i="3"/>
  <c r="S32" i="3"/>
  <c r="U40" i="3"/>
  <c r="U13" i="3"/>
  <c r="T45" i="3"/>
  <c r="U11" i="3"/>
  <c r="S11" i="3"/>
  <c r="U36" i="3"/>
  <c r="U12" i="3"/>
  <c r="S12" i="3"/>
  <c r="U3" i="3"/>
  <c r="S3" i="3"/>
  <c r="U29" i="3"/>
  <c r="S29" i="3"/>
  <c r="U44" i="3"/>
  <c r="U10" i="3"/>
  <c r="U15" i="3"/>
  <c r="U42" i="3"/>
  <c r="U35" i="3"/>
  <c r="U39" i="3"/>
  <c r="U34" i="3"/>
  <c r="U6" i="3"/>
  <c r="S6" i="3"/>
  <c r="U30" i="3"/>
  <c r="U20" i="3"/>
  <c r="U5" i="3"/>
  <c r="U21" i="3"/>
  <c r="U22" i="3"/>
  <c r="U4" i="3"/>
  <c r="U7" i="3"/>
  <c r="U8" i="3"/>
  <c r="S8" i="3"/>
  <c r="U38" i="3"/>
  <c r="U37" i="3"/>
  <c r="U41" i="3"/>
  <c r="U25" i="3"/>
  <c r="U9" i="3"/>
  <c r="S9" i="3"/>
  <c r="U31" i="3"/>
  <c r="U24" i="3"/>
  <c r="U27" i="3"/>
  <c r="U16" i="3"/>
  <c r="Q45" i="3"/>
  <c r="U26" i="3"/>
  <c r="U28" i="3"/>
  <c r="S45" i="3" l="1"/>
  <c r="U4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MESSOUR Rim</author>
  </authors>
  <commentList>
    <comment ref="O11" authorId="0" shapeId="0" xr:uid="{6DFB9410-8162-40DE-AB1C-A38303586E57}">
      <text>
        <r>
          <rPr>
            <b/>
            <sz val="9"/>
            <color indexed="81"/>
            <rFont val="Tahoma"/>
            <family val="2"/>
          </rPr>
          <t>MESSOUR Rim:</t>
        </r>
        <r>
          <rPr>
            <sz val="9"/>
            <color indexed="81"/>
            <rFont val="Tahoma"/>
            <family val="2"/>
          </rPr>
          <t xml:space="preserve">
Congé de naissance</t>
        </r>
      </text>
    </comment>
    <comment ref="O27" authorId="0" shapeId="0" xr:uid="{226DA540-7064-4B24-9899-B64C1D189996}">
      <text>
        <r>
          <rPr>
            <b/>
            <sz val="9"/>
            <color indexed="81"/>
            <rFont val="Tahoma"/>
            <family val="2"/>
          </rPr>
          <t>MESSOUR Rim:</t>
        </r>
        <r>
          <rPr>
            <sz val="9"/>
            <color indexed="81"/>
            <rFont val="Tahoma"/>
            <family val="2"/>
          </rPr>
          <t xml:space="preserve">
Congé de décès</t>
        </r>
      </text>
    </comment>
    <comment ref="O44" authorId="0" shapeId="0" xr:uid="{BBD602B5-4176-4B8D-A5B8-7E783F0635A5}">
      <text>
        <r>
          <rPr>
            <b/>
            <sz val="9"/>
            <color indexed="81"/>
            <rFont val="Tahoma"/>
            <family val="2"/>
          </rPr>
          <t>MESSOUR Rim:</t>
        </r>
        <r>
          <rPr>
            <sz val="9"/>
            <color indexed="81"/>
            <rFont val="Tahoma"/>
            <family val="2"/>
          </rPr>
          <t xml:space="preserve">
Congé pour intervention chirurgicale de son fils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MESSOUR Rim</author>
  </authors>
  <commentList>
    <comment ref="E19" authorId="0" shapeId="0" xr:uid="{4813AB94-20C6-4CA0-B91B-104E1E71E4A9}">
      <text>
        <r>
          <rPr>
            <b/>
            <sz val="9"/>
            <color indexed="81"/>
            <rFont val="Tahoma"/>
            <family val="2"/>
          </rPr>
          <t>MESSOUR Rim:</t>
        </r>
        <r>
          <rPr>
            <sz val="9"/>
            <color indexed="81"/>
            <rFont val="Tahoma"/>
            <family val="2"/>
          </rPr>
          <t xml:space="preserve">
STC 
DEMISSION</t>
        </r>
      </text>
    </comment>
  </commentList>
</comments>
</file>

<file path=xl/sharedStrings.xml><?xml version="1.0" encoding="utf-8"?>
<sst xmlns="http://schemas.openxmlformats.org/spreadsheetml/2006/main" count="450" uniqueCount="146">
  <si>
    <t>ETAT NAVETTE PAIE</t>
  </si>
  <si>
    <t>Mois de Janvier 2026</t>
  </si>
  <si>
    <t>MAT</t>
  </si>
  <si>
    <t>NOM &amp; PRÉNOM</t>
  </si>
  <si>
    <t xml:space="preserve">Congé Payé </t>
  </si>
  <si>
    <t>Maladie non Payée</t>
  </si>
  <si>
    <t>Absence AT</t>
  </si>
  <si>
    <t>Absence  Injustifiée</t>
  </si>
  <si>
    <t>Divers</t>
  </si>
  <si>
    <t>sc</t>
  </si>
  <si>
    <t>Prime DIVERS</t>
  </si>
  <si>
    <t>OBSERVATION</t>
  </si>
  <si>
    <t>NB JR</t>
  </si>
  <si>
    <t>du</t>
  </si>
  <si>
    <t xml:space="preserve">au </t>
  </si>
  <si>
    <t>au</t>
  </si>
  <si>
    <t>MOURSLI  OMAR</t>
  </si>
  <si>
    <t>JAMAL BOUNI</t>
  </si>
  <si>
    <t>EL MEDKOURI  ABDELLAH</t>
  </si>
  <si>
    <t>OUANNOUN  BOUCHAIB</t>
  </si>
  <si>
    <t>LAABOUKI  HALIMA</t>
  </si>
  <si>
    <t>WAHIB  LARBI</t>
  </si>
  <si>
    <t>HILMI  MOHAMMED</t>
  </si>
  <si>
    <t>EL BEJKANI  ABDELMAJID</t>
  </si>
  <si>
    <t>IDRISSI  ASMAE</t>
  </si>
  <si>
    <t>MOUMINE  KHADIJA</t>
  </si>
  <si>
    <t>EL HNISSI  NOURA</t>
  </si>
  <si>
    <t>MEKROUDA  ABDESSAMAD</t>
  </si>
  <si>
    <t>MALKI  SALEHEDDINE</t>
  </si>
  <si>
    <t>EL HOUR  ABDELLAH</t>
  </si>
  <si>
    <t>REGRAGUI  NAJLAE</t>
  </si>
  <si>
    <t>HIMER  IBTISSAM</t>
  </si>
  <si>
    <t>YACINE  ILHAM</t>
  </si>
  <si>
    <t>EL KISSI KARIMA</t>
  </si>
  <si>
    <t>EL YOUBI ADELALI</t>
  </si>
  <si>
    <t>BENKHALOUK KHALID</t>
  </si>
  <si>
    <t>TALBI AMINA</t>
  </si>
  <si>
    <t>EL OUARTACY HOUCINE</t>
  </si>
  <si>
    <t>MALKI YOUNES</t>
  </si>
  <si>
    <t>EL HILALI MED AMINE</t>
  </si>
  <si>
    <t>LEKMIHI SAFAE</t>
  </si>
  <si>
    <t>TALEB KAOUTER</t>
  </si>
  <si>
    <t xml:space="preserve">BOUJIHA EL MEHDI </t>
  </si>
  <si>
    <t>EZ ZAHOUANI HANANE</t>
  </si>
  <si>
    <t>RIAHI SANAE</t>
  </si>
  <si>
    <t xml:space="preserve">EL FARISSI LOUBNA </t>
  </si>
  <si>
    <t>EL KOUAJA SALIMA</t>
  </si>
  <si>
    <t xml:space="preserve">BENTALEB ALI </t>
  </si>
  <si>
    <t>BOUKRA RADOUAN</t>
  </si>
  <si>
    <t>MESSOUR RIM</t>
  </si>
  <si>
    <t>MEHDI MOUNTASSIR</t>
  </si>
  <si>
    <t>WALID BIAZ</t>
  </si>
  <si>
    <t>ACHAHBANE SALMA</t>
  </si>
  <si>
    <t>KARRAKCHOU SAFAA</t>
  </si>
  <si>
    <t xml:space="preserve">ESSAMLALI IMAN </t>
  </si>
  <si>
    <t>CHEBIHI HASSANI Mohamed Jalil</t>
  </si>
  <si>
    <t xml:space="preserve">FREJ ISMAIL </t>
  </si>
  <si>
    <t>Préparé par :</t>
  </si>
  <si>
    <t xml:space="preserve">Direction Ressources Humaines </t>
  </si>
  <si>
    <t>Directeur Général</t>
  </si>
  <si>
    <t xml:space="preserve">LONGUES MALADIE </t>
  </si>
  <si>
    <t>Matricule</t>
  </si>
  <si>
    <t xml:space="preserve">NOM ET PRENOM </t>
  </si>
  <si>
    <t xml:space="preserve">DATE </t>
  </si>
  <si>
    <t>NBR DE JOURS</t>
  </si>
  <si>
    <t>DU</t>
  </si>
  <si>
    <t>AU</t>
  </si>
  <si>
    <t>REPRISE LE</t>
  </si>
  <si>
    <t>AT</t>
  </si>
  <si>
    <t xml:space="preserve">STC </t>
  </si>
  <si>
    <t xml:space="preserve">Mois </t>
  </si>
  <si>
    <t>Date de sortie</t>
  </si>
  <si>
    <t>Motif</t>
  </si>
  <si>
    <t>Congé à payer</t>
  </si>
  <si>
    <t>Démission</t>
  </si>
  <si>
    <t xml:space="preserve">MATERNITE </t>
  </si>
  <si>
    <t>DEPART / retraite</t>
  </si>
  <si>
    <t>Date de sortie 
Dernier jr travaillé</t>
  </si>
  <si>
    <t xml:space="preserve">Nouvelles recrues </t>
  </si>
  <si>
    <t>Nom</t>
  </si>
  <si>
    <t>Position</t>
  </si>
  <si>
    <t>TYPE DE CONTRAT</t>
  </si>
  <si>
    <t>DATE DE NAISSANCE</t>
  </si>
  <si>
    <t>DATE DE RECRUTEMENT</t>
  </si>
  <si>
    <t>SALAIRE DE BASE</t>
  </si>
  <si>
    <t>Prime de Trsp</t>
  </si>
  <si>
    <t>NET à Vérifier</t>
  </si>
  <si>
    <t xml:space="preserve">N d'immatriculation 
CNSS </t>
  </si>
  <si>
    <t>RIB</t>
  </si>
  <si>
    <t xml:space="preserve">13 eme mois </t>
  </si>
  <si>
    <t>CIN</t>
  </si>
  <si>
    <t>N° de telephone</t>
  </si>
  <si>
    <t>Adresse</t>
  </si>
  <si>
    <t>Rappel</t>
  </si>
  <si>
    <t xml:space="preserve">Changement  </t>
  </si>
  <si>
    <t xml:space="preserve">Changement </t>
  </si>
  <si>
    <t xml:space="preserve">mobilite </t>
  </si>
  <si>
    <t xml:space="preserve">COMMENTAIRE </t>
  </si>
  <si>
    <t xml:space="preserve">                           </t>
  </si>
  <si>
    <t xml:space="preserve"> </t>
  </si>
  <si>
    <t xml:space="preserve">                            </t>
  </si>
  <si>
    <t>Etat Navette 2026</t>
  </si>
  <si>
    <t xml:space="preserve">DEPARTEMENT </t>
  </si>
  <si>
    <t xml:space="preserve">date d'embauche </t>
  </si>
  <si>
    <t>Nbr jours</t>
  </si>
  <si>
    <t>N-1 (2025)</t>
  </si>
  <si>
    <t>DROIT 2026</t>
  </si>
  <si>
    <t xml:space="preserve">ADMINISTRATION </t>
  </si>
  <si>
    <t>FREJ ISMAIL</t>
  </si>
  <si>
    <t>MALKI  SALAHEDDINE</t>
  </si>
  <si>
    <t>CONCIERGERIE</t>
  </si>
  <si>
    <t>CUISINE</t>
  </si>
  <si>
    <t>DIRECTION GENERALE</t>
  </si>
  <si>
    <t>ETAGE</t>
  </si>
  <si>
    <t xml:space="preserve">FINANCE </t>
  </si>
  <si>
    <t>RECEPTION</t>
  </si>
  <si>
    <t>BOUNI  JAMAL</t>
  </si>
  <si>
    <t xml:space="preserve">MOUNTASSIR MEHDI </t>
  </si>
  <si>
    <t>RESTAURANT</t>
  </si>
  <si>
    <t>BIAZ WALID</t>
  </si>
  <si>
    <t>STEWARD</t>
  </si>
  <si>
    <t>TECHNIQUE</t>
  </si>
  <si>
    <t xml:space="preserve">TECHNIQUE </t>
  </si>
  <si>
    <t>TOTAL</t>
  </si>
  <si>
    <t>TOTAL 2026</t>
  </si>
  <si>
    <t>Mois deFEVRIER 2026</t>
  </si>
  <si>
    <t>Chef de partie</t>
  </si>
  <si>
    <t>CDI</t>
  </si>
  <si>
    <t>EL MANSOURI SOUFIAN</t>
  </si>
  <si>
    <t>OUI</t>
  </si>
  <si>
    <t>Février</t>
  </si>
  <si>
    <t>AB345153</t>
  </si>
  <si>
    <t>06 63 83 22 64</t>
  </si>
  <si>
    <t>12 RUE ZELLAKA BETTANA SALE</t>
  </si>
  <si>
    <t>181815211113577629000542</t>
  </si>
  <si>
    <t>RESTE 2025</t>
  </si>
  <si>
    <t>Total</t>
  </si>
  <si>
    <t>Mois de MARS 2026</t>
  </si>
  <si>
    <t xml:space="preserve">Mars </t>
  </si>
  <si>
    <t>,,,333333</t>
  </si>
  <si>
    <t>6 J</t>
  </si>
  <si>
    <t>4,5 J</t>
  </si>
  <si>
    <t>janvier</t>
  </si>
  <si>
    <t>Avril</t>
  </si>
  <si>
    <t xml:space="preserve">Retraite </t>
  </si>
  <si>
    <t>Adresse 6 HAY NAHDA 2 COMPLT RABAT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</si>
</sst>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#,##0\ &quot;DH&quot;;[Red]\-#,##0\ &quot;DH&quot;"/>
    <numFmt numFmtId="164" formatCode="_-* #,##0.00\ _€_-;\-* #,##0.00\ _€_-;_-* &quot;-&quot;??\ _€_-;_-@_-"/>
    <numFmt numFmtId="165" formatCode="00000"/>
    <numFmt numFmtId="166" formatCode="0.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u/>
      <sz val="12"/>
      <name val="Arial"/>
      <family val="2"/>
    </font>
    <font>
      <b/>
      <sz val="22"/>
      <name val="Calibri"/>
      <family val="2"/>
      <scheme val="minor"/>
    </font>
    <font>
      <b/>
      <i/>
      <u/>
      <sz val="16"/>
      <color theme="8" tint="-0.499984740745262"/>
      <name val="Arial"/>
      <family val="2"/>
    </font>
    <font>
      <sz val="16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b/>
      <i/>
      <u/>
      <sz val="14"/>
      <color theme="8" tint="-0.499984740745262"/>
      <name val="Arial"/>
      <family val="2"/>
    </font>
    <font>
      <sz val="12"/>
      <name val="Calibri"/>
      <family val="2"/>
      <scheme val="minor"/>
    </font>
    <font>
      <sz val="12"/>
      <name val="Cambria"/>
      <family val="1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sz val="1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2"/>
      <name val="Calibri Light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auto="1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thick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4">
    <xf numFmtId="0" fontId="0" fillId="0" borderId="0"/>
    <xf numFmtId="0" fontId="3" fillId="0" borderId="0"/>
    <xf numFmtId="164" fontId="1" fillId="0" borderId="0" applyFont="0" applyFill="0" applyBorder="0" applyAlignment="0" applyProtection="0"/>
    <xf numFmtId="0" fontId="1" fillId="0" borderId="0"/>
  </cellStyleXfs>
  <cellXfs count="309">
    <xf numFmtId="0" fontId="0" fillId="0" borderId="0" xfId="0"/>
    <xf numFmtId="0" fontId="4" fillId="0" borderId="0" xfId="1" applyFont="1" applyAlignment="1">
      <alignment vertical="center"/>
    </xf>
    <xf numFmtId="0" fontId="5" fillId="3" borderId="8" xfId="1" applyFont="1" applyFill="1" applyBorder="1" applyAlignment="1">
      <alignment horizontal="center" vertical="center" wrapText="1"/>
    </xf>
    <xf numFmtId="14" fontId="5" fillId="3" borderId="9" xfId="1" applyNumberFormat="1" applyFont="1" applyFill="1" applyBorder="1" applyAlignment="1">
      <alignment horizontal="center" vertical="center"/>
    </xf>
    <xf numFmtId="14" fontId="5" fillId="3" borderId="10" xfId="1" applyNumberFormat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 wrapText="1"/>
    </xf>
    <xf numFmtId="165" fontId="4" fillId="4" borderId="12" xfId="1" applyNumberFormat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vertical="center"/>
    </xf>
    <xf numFmtId="0" fontId="4" fillId="4" borderId="13" xfId="1" applyFont="1" applyFill="1" applyBorder="1" applyAlignment="1">
      <alignment horizontal="center" vertical="center"/>
    </xf>
    <xf numFmtId="14" fontId="4" fillId="4" borderId="14" xfId="1" applyNumberFormat="1" applyFont="1" applyFill="1" applyBorder="1" applyAlignment="1">
      <alignment horizontal="center" vertical="center" wrapText="1"/>
    </xf>
    <xf numFmtId="14" fontId="4" fillId="4" borderId="15" xfId="1" applyNumberFormat="1" applyFont="1" applyFill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/>
    </xf>
    <xf numFmtId="14" fontId="4" fillId="0" borderId="14" xfId="1" applyNumberFormat="1" applyFont="1" applyBorder="1" applyAlignment="1">
      <alignment horizontal="center" vertical="center"/>
    </xf>
    <xf numFmtId="14" fontId="4" fillId="0" borderId="15" xfId="1" applyNumberFormat="1" applyFont="1" applyBorder="1" applyAlignment="1">
      <alignment horizontal="center" vertical="center"/>
    </xf>
    <xf numFmtId="0" fontId="5" fillId="0" borderId="17" xfId="1" applyFont="1" applyBorder="1" applyAlignment="1">
      <alignment horizontal="center"/>
    </xf>
    <xf numFmtId="2" fontId="5" fillId="0" borderId="17" xfId="1" applyNumberFormat="1" applyFont="1" applyBorder="1" applyAlignment="1">
      <alignment horizontal="center"/>
    </xf>
    <xf numFmtId="165" fontId="4" fillId="4" borderId="18" xfId="1" applyNumberFormat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vertical="center"/>
    </xf>
    <xf numFmtId="0" fontId="4" fillId="4" borderId="13" xfId="1" applyFont="1" applyFill="1" applyBorder="1" applyAlignment="1">
      <alignment horizontal="center" vertical="center" wrapText="1"/>
    </xf>
    <xf numFmtId="2" fontId="4" fillId="0" borderId="16" xfId="1" applyNumberFormat="1" applyFont="1" applyBorder="1" applyAlignment="1">
      <alignment horizontal="center" vertical="center"/>
    </xf>
    <xf numFmtId="2" fontId="4" fillId="0" borderId="14" xfId="1" applyNumberFormat="1" applyFont="1" applyBorder="1" applyAlignment="1">
      <alignment horizontal="center" vertical="center"/>
    </xf>
    <xf numFmtId="2" fontId="4" fillId="0" borderId="15" xfId="1" applyNumberFormat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 wrapText="1"/>
    </xf>
    <xf numFmtId="0" fontId="4" fillId="0" borderId="15" xfId="1" applyFont="1" applyBorder="1" applyAlignment="1">
      <alignment horizontal="center" vertical="center" wrapText="1"/>
    </xf>
    <xf numFmtId="165" fontId="4" fillId="4" borderId="17" xfId="1" applyNumberFormat="1" applyFont="1" applyFill="1" applyBorder="1" applyAlignment="1">
      <alignment horizontal="center" vertical="center"/>
    </xf>
    <xf numFmtId="0" fontId="5" fillId="4" borderId="17" xfId="1" applyFont="1" applyFill="1" applyBorder="1" applyAlignment="1">
      <alignment vertical="center"/>
    </xf>
    <xf numFmtId="12" fontId="4" fillId="0" borderId="16" xfId="1" applyNumberFormat="1" applyFont="1" applyBorder="1" applyAlignment="1">
      <alignment horizontal="center" vertical="center"/>
    </xf>
    <xf numFmtId="0" fontId="4" fillId="4" borderId="16" xfId="1" applyFont="1" applyFill="1" applyBorder="1" applyAlignment="1">
      <alignment horizontal="center" vertical="center" wrapText="1"/>
    </xf>
    <xf numFmtId="14" fontId="4" fillId="4" borderId="14" xfId="1" applyNumberFormat="1" applyFont="1" applyFill="1" applyBorder="1" applyAlignment="1">
      <alignment horizontal="center" vertical="center"/>
    </xf>
    <xf numFmtId="14" fontId="4" fillId="4" borderId="15" xfId="1" applyNumberFormat="1" applyFont="1" applyFill="1" applyBorder="1" applyAlignment="1">
      <alignment horizontal="center" vertical="center"/>
    </xf>
    <xf numFmtId="14" fontId="4" fillId="0" borderId="14" xfId="1" applyNumberFormat="1" applyFont="1" applyBorder="1" applyAlignment="1">
      <alignment horizontal="center" vertical="center" wrapText="1"/>
    </xf>
    <xf numFmtId="14" fontId="4" fillId="0" borderId="15" xfId="1" applyNumberFormat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0" fontId="4" fillId="4" borderId="16" xfId="1" applyFont="1" applyFill="1" applyBorder="1" applyAlignment="1">
      <alignment horizontal="center" vertical="center"/>
    </xf>
    <xf numFmtId="0" fontId="5" fillId="0" borderId="17" xfId="1" applyFont="1" applyBorder="1" applyAlignment="1">
      <alignment vertical="center"/>
    </xf>
    <xf numFmtId="0" fontId="4" fillId="4" borderId="14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14" fontId="4" fillId="4" borderId="9" xfId="1" applyNumberFormat="1" applyFont="1" applyFill="1" applyBorder="1" applyAlignment="1">
      <alignment horizontal="center" vertical="center"/>
    </xf>
    <xf numFmtId="14" fontId="4" fillId="4" borderId="10" xfId="1" applyNumberFormat="1" applyFont="1" applyFill="1" applyBorder="1" applyAlignment="1">
      <alignment horizontal="center" vertical="center"/>
    </xf>
    <xf numFmtId="14" fontId="4" fillId="4" borderId="9" xfId="1" applyNumberFormat="1" applyFont="1" applyFill="1" applyBorder="1" applyAlignment="1">
      <alignment horizontal="center" vertical="center" wrapText="1"/>
    </xf>
    <xf numFmtId="14" fontId="4" fillId="4" borderId="10" xfId="1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/>
    <xf numFmtId="0" fontId="4" fillId="0" borderId="13" xfId="1" applyFont="1" applyBorder="1" applyAlignment="1">
      <alignment horizontal="center" vertical="center"/>
    </xf>
    <xf numFmtId="165" fontId="4" fillId="4" borderId="19" xfId="1" applyNumberFormat="1" applyFont="1" applyFill="1" applyBorder="1" applyAlignment="1">
      <alignment horizontal="center" vertical="center"/>
    </xf>
    <xf numFmtId="0" fontId="5" fillId="4" borderId="19" xfId="1" applyFont="1" applyFill="1" applyBorder="1" applyAlignment="1">
      <alignment vertical="center"/>
    </xf>
    <xf numFmtId="0" fontId="4" fillId="4" borderId="20" xfId="1" applyFont="1" applyFill="1" applyBorder="1" applyAlignment="1">
      <alignment horizontal="center" vertical="center"/>
    </xf>
    <xf numFmtId="14" fontId="4" fillId="4" borderId="21" xfId="1" applyNumberFormat="1" applyFont="1" applyFill="1" applyBorder="1" applyAlignment="1">
      <alignment horizontal="center" vertical="center"/>
    </xf>
    <xf numFmtId="14" fontId="4" fillId="4" borderId="22" xfId="1" applyNumberFormat="1" applyFont="1" applyFill="1" applyBorder="1" applyAlignment="1">
      <alignment horizontal="center" vertical="center"/>
    </xf>
    <xf numFmtId="0" fontId="4" fillId="4" borderId="23" xfId="1" applyFont="1" applyFill="1" applyBorder="1" applyAlignment="1">
      <alignment horizontal="center" vertical="center" wrapText="1"/>
    </xf>
    <xf numFmtId="14" fontId="4" fillId="4" borderId="21" xfId="1" applyNumberFormat="1" applyFont="1" applyFill="1" applyBorder="1" applyAlignment="1">
      <alignment horizontal="center" vertical="center" wrapText="1"/>
    </xf>
    <xf numFmtId="14" fontId="4" fillId="4" borderId="22" xfId="1" applyNumberFormat="1" applyFont="1" applyFill="1" applyBorder="1" applyAlignment="1">
      <alignment horizontal="center" vertical="center" wrapText="1"/>
    </xf>
    <xf numFmtId="2" fontId="4" fillId="0" borderId="23" xfId="1" applyNumberFormat="1" applyFont="1" applyBorder="1" applyAlignment="1">
      <alignment horizontal="center" vertical="center"/>
    </xf>
    <xf numFmtId="2" fontId="4" fillId="0" borderId="21" xfId="1" applyNumberFormat="1" applyFont="1" applyBorder="1" applyAlignment="1">
      <alignment horizontal="center" vertical="center"/>
    </xf>
    <xf numFmtId="2" fontId="4" fillId="0" borderId="22" xfId="1" applyNumberFormat="1" applyFont="1" applyBorder="1" applyAlignment="1">
      <alignment horizontal="center" vertical="center"/>
    </xf>
    <xf numFmtId="0" fontId="5" fillId="0" borderId="19" xfId="1" applyFont="1" applyBorder="1" applyAlignment="1">
      <alignment horizontal="center"/>
    </xf>
    <xf numFmtId="2" fontId="5" fillId="0" borderId="19" xfId="1" applyNumberFormat="1" applyFont="1" applyBorder="1" applyAlignment="1">
      <alignment horizontal="center"/>
    </xf>
    <xf numFmtId="0" fontId="6" fillId="0" borderId="0" xfId="0" applyFont="1"/>
    <xf numFmtId="0" fontId="4" fillId="0" borderId="0" xfId="1" applyFont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2" fontId="4" fillId="0" borderId="0" xfId="1" applyNumberFormat="1" applyFont="1" applyAlignment="1">
      <alignment horizontal="center" vertical="center"/>
    </xf>
    <xf numFmtId="2" fontId="5" fillId="0" borderId="0" xfId="1" applyNumberFormat="1" applyFont="1" applyAlignment="1">
      <alignment horizontal="center" vertical="center"/>
    </xf>
    <xf numFmtId="0" fontId="5" fillId="0" borderId="0" xfId="1" applyFont="1"/>
    <xf numFmtId="14" fontId="4" fillId="0" borderId="0" xfId="1" applyNumberFormat="1" applyFont="1" applyAlignment="1">
      <alignment horizontal="center"/>
    </xf>
    <xf numFmtId="2" fontId="4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1" fillId="5" borderId="8" xfId="0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14" fontId="4" fillId="4" borderId="30" xfId="0" applyNumberFormat="1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 wrapText="1"/>
    </xf>
    <xf numFmtId="0" fontId="10" fillId="0" borderId="0" xfId="0" applyFont="1"/>
    <xf numFmtId="0" fontId="5" fillId="5" borderId="0" xfId="0" applyFont="1" applyFill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14" fontId="5" fillId="0" borderId="14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165" fontId="13" fillId="4" borderId="30" xfId="1" applyNumberFormat="1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/>
    </xf>
    <xf numFmtId="14" fontId="14" fillId="4" borderId="30" xfId="0" applyNumberFormat="1" applyFont="1" applyFill="1" applyBorder="1" applyAlignment="1">
      <alignment horizontal="center" vertical="center"/>
    </xf>
    <xf numFmtId="14" fontId="14" fillId="4" borderId="33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5" fillId="5" borderId="33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16" fillId="4" borderId="30" xfId="0" applyFont="1" applyFill="1" applyBorder="1" applyAlignment="1">
      <alignment horizontal="center" vertical="center"/>
    </xf>
    <xf numFmtId="14" fontId="16" fillId="4" borderId="33" xfId="0" applyNumberFormat="1" applyFont="1" applyFill="1" applyBorder="1" applyAlignment="1">
      <alignment horizontal="center" vertical="center" wrapText="1"/>
    </xf>
    <xf numFmtId="1" fontId="16" fillId="4" borderId="33" xfId="0" applyNumberFormat="1" applyFont="1" applyFill="1" applyBorder="1" applyAlignment="1">
      <alignment horizontal="center" vertical="center" wrapText="1"/>
    </xf>
    <xf numFmtId="0" fontId="17" fillId="4" borderId="3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8" fillId="5" borderId="3" xfId="3" applyFont="1" applyFill="1" applyBorder="1" applyAlignment="1">
      <alignment horizontal="center" vertical="center" wrapText="1"/>
    </xf>
    <xf numFmtId="0" fontId="18" fillId="5" borderId="26" xfId="3" applyFont="1" applyFill="1" applyBorder="1" applyAlignment="1">
      <alignment horizontal="center" vertical="center" wrapText="1"/>
    </xf>
    <xf numFmtId="0" fontId="18" fillId="5" borderId="26" xfId="3" applyFont="1" applyFill="1" applyBorder="1" applyAlignment="1">
      <alignment vertical="center" wrapText="1"/>
    </xf>
    <xf numFmtId="0" fontId="18" fillId="5" borderId="3" xfId="3" applyFont="1" applyFill="1" applyBorder="1" applyAlignment="1">
      <alignment vertical="center" wrapText="1"/>
    </xf>
    <xf numFmtId="0" fontId="19" fillId="0" borderId="30" xfId="3" applyFont="1" applyBorder="1" applyAlignment="1">
      <alignment horizontal="center" vertical="center" wrapText="1"/>
    </xf>
    <xf numFmtId="14" fontId="20" fillId="0" borderId="30" xfId="3" applyNumberFormat="1" applyFont="1" applyBorder="1" applyAlignment="1">
      <alignment horizontal="center" vertical="center" wrapText="1"/>
    </xf>
    <xf numFmtId="0" fontId="20" fillId="0" borderId="30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center" vertical="center" wrapText="1"/>
    </xf>
    <xf numFmtId="14" fontId="19" fillId="0" borderId="30" xfId="3" applyNumberFormat="1" applyFont="1" applyBorder="1" applyAlignment="1">
      <alignment horizontal="center" vertical="center" wrapText="1"/>
    </xf>
    <xf numFmtId="0" fontId="18" fillId="0" borderId="33" xfId="3" quotePrefix="1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165" fontId="21" fillId="4" borderId="0" xfId="0" applyNumberFormat="1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2" fillId="4" borderId="0" xfId="0" applyFont="1" applyFill="1" applyAlignment="1">
      <alignment horizontal="center" vertical="center" wrapText="1"/>
    </xf>
    <xf numFmtId="14" fontId="22" fillId="4" borderId="0" xfId="0" applyNumberFormat="1" applyFont="1" applyFill="1" applyAlignment="1">
      <alignment horizontal="center" vertical="center" wrapText="1"/>
    </xf>
    <xf numFmtId="2" fontId="22" fillId="4" borderId="0" xfId="0" applyNumberFormat="1" applyFont="1" applyFill="1" applyAlignment="1">
      <alignment horizontal="center" vertical="center" wrapText="1"/>
    </xf>
    <xf numFmtId="3" fontId="22" fillId="4" borderId="0" xfId="0" applyNumberFormat="1" applyFont="1" applyFill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5" fillId="5" borderId="35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/>
    </xf>
    <xf numFmtId="14" fontId="16" fillId="4" borderId="0" xfId="0" applyNumberFormat="1" applyFont="1" applyFill="1" applyAlignment="1">
      <alignment horizontal="center" vertical="center" wrapText="1"/>
    </xf>
    <xf numFmtId="14" fontId="24" fillId="6" borderId="3" xfId="1" applyNumberFormat="1" applyFont="1" applyFill="1" applyBorder="1" applyAlignment="1">
      <alignment horizontal="center" vertical="center"/>
    </xf>
    <xf numFmtId="0" fontId="25" fillId="6" borderId="43" xfId="1" applyFont="1" applyFill="1" applyBorder="1" applyAlignment="1">
      <alignment horizontal="center" vertical="center" wrapText="1"/>
    </xf>
    <xf numFmtId="0" fontId="25" fillId="6" borderId="35" xfId="1" applyFont="1" applyFill="1" applyBorder="1" applyAlignment="1">
      <alignment horizontal="center" vertical="center" wrapText="1"/>
    </xf>
    <xf numFmtId="0" fontId="25" fillId="6" borderId="32" xfId="1" applyFont="1" applyFill="1" applyBorder="1" applyAlignment="1">
      <alignment horizontal="center" vertical="center" wrapText="1"/>
    </xf>
    <xf numFmtId="14" fontId="24" fillId="6" borderId="29" xfId="1" applyNumberFormat="1" applyFont="1" applyFill="1" applyBorder="1" applyAlignment="1">
      <alignment horizontal="center" vertical="center"/>
    </xf>
    <xf numFmtId="0" fontId="24" fillId="6" borderId="8" xfId="1" applyFont="1" applyFill="1" applyBorder="1" applyAlignment="1">
      <alignment horizontal="center" vertical="center" wrapText="1"/>
    </xf>
    <xf numFmtId="0" fontId="24" fillId="6" borderId="45" xfId="1" applyFont="1" applyFill="1" applyBorder="1" applyAlignment="1">
      <alignment horizontal="center" vertical="center" wrapText="1"/>
    </xf>
    <xf numFmtId="0" fontId="24" fillId="6" borderId="11" xfId="1" applyFont="1" applyFill="1" applyBorder="1" applyAlignment="1">
      <alignment horizontal="center" vertical="center" wrapText="1"/>
    </xf>
    <xf numFmtId="0" fontId="24" fillId="6" borderId="46" xfId="1" applyFont="1" applyFill="1" applyBorder="1" applyAlignment="1">
      <alignment horizontal="center" vertical="center" wrapText="1"/>
    </xf>
    <xf numFmtId="165" fontId="26" fillId="4" borderId="17" xfId="1" applyNumberFormat="1" applyFont="1" applyFill="1" applyBorder="1" applyAlignment="1">
      <alignment horizontal="center" vertical="center"/>
    </xf>
    <xf numFmtId="0" fontId="27" fillId="4" borderId="47" xfId="1" applyFont="1" applyFill="1" applyBorder="1"/>
    <xf numFmtId="0" fontId="27" fillId="4" borderId="48" xfId="1" applyFont="1" applyFill="1" applyBorder="1"/>
    <xf numFmtId="14" fontId="28" fillId="4" borderId="6" xfId="1" applyNumberFormat="1" applyFont="1" applyFill="1" applyBorder="1" applyAlignment="1">
      <alignment horizontal="left" vertical="center"/>
    </xf>
    <xf numFmtId="0" fontId="27" fillId="4" borderId="12" xfId="1" applyFont="1" applyFill="1" applyBorder="1"/>
    <xf numFmtId="165" fontId="25" fillId="4" borderId="17" xfId="1" applyNumberFormat="1" applyFont="1" applyFill="1" applyBorder="1" applyAlignment="1">
      <alignment horizontal="center" vertical="center"/>
    </xf>
    <xf numFmtId="0" fontId="24" fillId="4" borderId="47" xfId="1" applyFont="1" applyFill="1" applyBorder="1"/>
    <xf numFmtId="0" fontId="24" fillId="4" borderId="12" xfId="1" applyFont="1" applyFill="1" applyBorder="1"/>
    <xf numFmtId="165" fontId="26" fillId="7" borderId="17" xfId="1" applyNumberFormat="1" applyFont="1" applyFill="1" applyBorder="1" applyAlignment="1">
      <alignment horizontal="center" vertical="center"/>
    </xf>
    <xf numFmtId="0" fontId="27" fillId="7" borderId="47" xfId="1" applyFont="1" applyFill="1" applyBorder="1"/>
    <xf numFmtId="0" fontId="27" fillId="7" borderId="12" xfId="1" applyFont="1" applyFill="1" applyBorder="1"/>
    <xf numFmtId="0" fontId="0" fillId="8" borderId="14" xfId="0" applyFill="1" applyBorder="1"/>
    <xf numFmtId="0" fontId="27" fillId="4" borderId="49" xfId="1" applyFont="1" applyFill="1" applyBorder="1"/>
    <xf numFmtId="0" fontId="27" fillId="4" borderId="17" xfId="1" applyFont="1" applyFill="1" applyBorder="1"/>
    <xf numFmtId="165" fontId="26" fillId="4" borderId="18" xfId="1" applyNumberFormat="1" applyFont="1" applyFill="1" applyBorder="1" applyAlignment="1">
      <alignment horizontal="center" vertical="center"/>
    </xf>
    <xf numFmtId="0" fontId="27" fillId="4" borderId="46" xfId="1" applyFont="1" applyFill="1" applyBorder="1"/>
    <xf numFmtId="0" fontId="27" fillId="4" borderId="18" xfId="1" applyFont="1" applyFill="1" applyBorder="1"/>
    <xf numFmtId="0" fontId="24" fillId="4" borderId="50" xfId="1" applyFont="1" applyFill="1" applyBorder="1"/>
    <xf numFmtId="0" fontId="24" fillId="4" borderId="19" xfId="1" applyFont="1" applyFill="1" applyBorder="1"/>
    <xf numFmtId="0" fontId="0" fillId="9" borderId="29" xfId="0" applyFill="1" applyBorder="1"/>
    <xf numFmtId="0" fontId="24" fillId="9" borderId="29" xfId="1" applyFont="1" applyFill="1" applyBorder="1"/>
    <xf numFmtId="0" fontId="0" fillId="0" borderId="52" xfId="0" applyBorder="1"/>
    <xf numFmtId="0" fontId="0" fillId="0" borderId="53" xfId="0" applyBorder="1"/>
    <xf numFmtId="0" fontId="0" fillId="0" borderId="15" xfId="0" applyBorder="1"/>
    <xf numFmtId="0" fontId="0" fillId="8" borderId="15" xfId="0" applyFill="1" applyBorder="1"/>
    <xf numFmtId="14" fontId="24" fillId="9" borderId="1" xfId="1" applyNumberFormat="1" applyFont="1" applyFill="1" applyBorder="1"/>
    <xf numFmtId="0" fontId="0" fillId="0" borderId="9" xfId="0" applyBorder="1"/>
    <xf numFmtId="0" fontId="0" fillId="0" borderId="10" xfId="0" applyBorder="1"/>
    <xf numFmtId="0" fontId="0" fillId="0" borderId="54" xfId="0" applyBorder="1"/>
    <xf numFmtId="0" fontId="0" fillId="0" borderId="55" xfId="0" applyBorder="1"/>
    <xf numFmtId="2" fontId="0" fillId="0" borderId="2" xfId="0" applyNumberFormat="1" applyBorder="1"/>
    <xf numFmtId="2" fontId="0" fillId="0" borderId="27" xfId="0" applyNumberFormat="1" applyBorder="1"/>
    <xf numFmtId="0" fontId="0" fillId="0" borderId="4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6" fontId="20" fillId="0" borderId="30" xfId="3" applyNumberFormat="1" applyFont="1" applyBorder="1" applyAlignment="1">
      <alignment horizontal="center" vertical="center" wrapText="1"/>
    </xf>
    <xf numFmtId="2" fontId="20" fillId="0" borderId="30" xfId="3" quotePrefix="1" applyNumberFormat="1" applyFont="1" applyBorder="1" applyAlignment="1">
      <alignment horizontal="center" vertical="center" wrapText="1"/>
    </xf>
    <xf numFmtId="2" fontId="26" fillId="4" borderId="6" xfId="1" applyNumberFormat="1" applyFont="1" applyFill="1" applyBorder="1" applyAlignment="1">
      <alignment horizontal="center" vertical="center" wrapText="1"/>
    </xf>
    <xf numFmtId="2" fontId="26" fillId="4" borderId="49" xfId="1" applyNumberFormat="1" applyFont="1" applyFill="1" applyBorder="1" applyAlignment="1">
      <alignment horizontal="center" vertical="center"/>
    </xf>
    <xf numFmtId="2" fontId="26" fillId="4" borderId="49" xfId="1" applyNumberFormat="1" applyFont="1" applyFill="1" applyBorder="1" applyAlignment="1">
      <alignment horizontal="center" vertical="center" wrapText="1"/>
    </xf>
    <xf numFmtId="2" fontId="25" fillId="4" borderId="49" xfId="1" applyNumberFormat="1" applyFont="1" applyFill="1" applyBorder="1" applyAlignment="1">
      <alignment horizontal="center" vertical="center" wrapText="1"/>
    </xf>
    <xf numFmtId="2" fontId="26" fillId="4" borderId="46" xfId="1" applyNumberFormat="1" applyFont="1" applyFill="1" applyBorder="1" applyAlignment="1">
      <alignment horizontal="center" vertical="center"/>
    </xf>
    <xf numFmtId="2" fontId="26" fillId="4" borderId="46" xfId="1" applyNumberFormat="1" applyFont="1" applyFill="1" applyBorder="1" applyAlignment="1">
      <alignment horizontal="center" vertical="center" wrapText="1"/>
    </xf>
    <xf numFmtId="2" fontId="25" fillId="4" borderId="50" xfId="1" applyNumberFormat="1" applyFont="1" applyFill="1" applyBorder="1" applyAlignment="1">
      <alignment horizontal="center" vertical="center" wrapText="1"/>
    </xf>
    <xf numFmtId="0" fontId="0" fillId="0" borderId="33" xfId="0" applyBorder="1"/>
    <xf numFmtId="2" fontId="26" fillId="10" borderId="48" xfId="1" applyNumberFormat="1" applyFont="1" applyFill="1" applyBorder="1" applyAlignment="1">
      <alignment horizontal="center" vertical="center" wrapText="1"/>
    </xf>
    <xf numFmtId="0" fontId="26" fillId="10" borderId="4" xfId="1" applyFont="1" applyFill="1" applyBorder="1" applyAlignment="1">
      <alignment horizontal="center" vertical="center"/>
    </xf>
    <xf numFmtId="0" fontId="26" fillId="10" borderId="56" xfId="1" applyFont="1" applyFill="1" applyBorder="1" applyAlignment="1">
      <alignment horizontal="center" vertical="center"/>
    </xf>
    <xf numFmtId="166" fontId="26" fillId="10" borderId="56" xfId="1" applyNumberFormat="1" applyFont="1" applyFill="1" applyBorder="1" applyAlignment="1">
      <alignment horizontal="center" vertical="center"/>
    </xf>
    <xf numFmtId="2" fontId="26" fillId="10" borderId="56" xfId="1" applyNumberFormat="1" applyFont="1" applyFill="1" applyBorder="1" applyAlignment="1">
      <alignment horizontal="center" vertical="center"/>
    </xf>
    <xf numFmtId="0" fontId="25" fillId="10" borderId="56" xfId="1" applyFont="1" applyFill="1" applyBorder="1" applyAlignment="1">
      <alignment horizontal="center" vertical="center" wrapText="1"/>
    </xf>
    <xf numFmtId="0" fontId="26" fillId="10" borderId="56" xfId="1" applyFont="1" applyFill="1" applyBorder="1" applyAlignment="1">
      <alignment horizontal="center" vertical="center" wrapText="1"/>
    </xf>
    <xf numFmtId="0" fontId="25" fillId="10" borderId="56" xfId="1" applyFont="1" applyFill="1" applyBorder="1" applyAlignment="1">
      <alignment horizontal="center" vertical="center"/>
    </xf>
    <xf numFmtId="0" fontId="26" fillId="10" borderId="57" xfId="1" applyFont="1" applyFill="1" applyBorder="1" applyAlignment="1">
      <alignment horizontal="center" vertical="center" wrapText="1"/>
    </xf>
    <xf numFmtId="0" fontId="26" fillId="10" borderId="57" xfId="1" applyFont="1" applyFill="1" applyBorder="1" applyAlignment="1">
      <alignment horizontal="center" vertical="center"/>
    </xf>
    <xf numFmtId="166" fontId="26" fillId="10" borderId="57" xfId="1" applyNumberFormat="1" applyFont="1" applyFill="1" applyBorder="1" applyAlignment="1">
      <alignment horizontal="center" vertical="center"/>
    </xf>
    <xf numFmtId="0" fontId="25" fillId="10" borderId="58" xfId="1" applyFont="1" applyFill="1" applyBorder="1" applyAlignment="1">
      <alignment horizontal="center" vertical="center" wrapText="1"/>
    </xf>
    <xf numFmtId="2" fontId="0" fillId="10" borderId="48" xfId="0" applyNumberFormat="1" applyFill="1" applyBorder="1" applyAlignment="1">
      <alignment horizontal="center" vertical="center"/>
    </xf>
    <xf numFmtId="2" fontId="0" fillId="10" borderId="17" xfId="0" applyNumberFormat="1" applyFill="1" applyBorder="1" applyAlignment="1">
      <alignment horizontal="center" vertical="center"/>
    </xf>
    <xf numFmtId="2" fontId="0" fillId="10" borderId="19" xfId="0" applyNumberFormat="1" applyFill="1" applyBorder="1" applyAlignment="1">
      <alignment horizontal="center" vertical="center"/>
    </xf>
    <xf numFmtId="2" fontId="0" fillId="0" borderId="29" xfId="0" applyNumberFormat="1" applyBorder="1"/>
    <xf numFmtId="2" fontId="26" fillId="10" borderId="17" xfId="1" applyNumberFormat="1" applyFont="1" applyFill="1" applyBorder="1" applyAlignment="1">
      <alignment horizontal="center" vertical="center" wrapText="1"/>
    </xf>
    <xf numFmtId="2" fontId="26" fillId="10" borderId="19" xfId="1" applyNumberFormat="1" applyFont="1" applyFill="1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7" borderId="16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4" fillId="4" borderId="11" xfId="1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14" fontId="4" fillId="4" borderId="62" xfId="1" applyNumberFormat="1" applyFont="1" applyFill="1" applyBorder="1" applyAlignment="1">
      <alignment horizontal="center" vertical="center" wrapText="1"/>
    </xf>
    <xf numFmtId="0" fontId="4" fillId="0" borderId="23" xfId="1" applyFont="1" applyBorder="1" applyAlignment="1">
      <alignment horizontal="center" vertical="center"/>
    </xf>
    <xf numFmtId="0" fontId="4" fillId="0" borderId="21" xfId="1" applyFont="1" applyBorder="1" applyAlignment="1">
      <alignment horizontal="center" vertical="center" wrapText="1"/>
    </xf>
    <xf numFmtId="0" fontId="4" fillId="0" borderId="22" xfId="1" applyFont="1" applyBorder="1" applyAlignment="1">
      <alignment horizontal="center" vertical="center" wrapText="1"/>
    </xf>
    <xf numFmtId="0" fontId="5" fillId="4" borderId="18" xfId="1" applyFont="1" applyFill="1" applyBorder="1" applyAlignment="1">
      <alignment horizontal="left" vertical="center"/>
    </xf>
    <xf numFmtId="0" fontId="4" fillId="4" borderId="8" xfId="1" applyFont="1" applyFill="1" applyBorder="1" applyAlignment="1">
      <alignment horizontal="center" vertical="center" wrapText="1"/>
    </xf>
    <xf numFmtId="14" fontId="4" fillId="4" borderId="63" xfId="1" applyNumberFormat="1" applyFont="1" applyFill="1" applyBorder="1" applyAlignment="1">
      <alignment horizontal="center" vertical="center" wrapText="1"/>
    </xf>
    <xf numFmtId="2" fontId="4" fillId="0" borderId="11" xfId="1" applyNumberFormat="1" applyFont="1" applyBorder="1" applyAlignment="1">
      <alignment horizontal="center" vertical="center"/>
    </xf>
    <xf numFmtId="2" fontId="4" fillId="0" borderId="9" xfId="1" applyNumberFormat="1" applyFont="1" applyBorder="1" applyAlignment="1">
      <alignment horizontal="center" vertical="center"/>
    </xf>
    <xf numFmtId="2" fontId="4" fillId="0" borderId="10" xfId="1" applyNumberFormat="1" applyFont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  <xf numFmtId="0" fontId="5" fillId="0" borderId="18" xfId="1" applyFont="1" applyBorder="1" applyAlignment="1">
      <alignment horizontal="center"/>
    </xf>
    <xf numFmtId="2" fontId="5" fillId="0" borderId="18" xfId="1" applyNumberFormat="1" applyFont="1" applyBorder="1" applyAlignment="1">
      <alignment horizontal="center"/>
    </xf>
    <xf numFmtId="14" fontId="5" fillId="3" borderId="63" xfId="1" applyNumberFormat="1" applyFont="1" applyFill="1" applyBorder="1" applyAlignment="1">
      <alignment horizontal="center" vertical="center"/>
    </xf>
    <xf numFmtId="14" fontId="4" fillId="4" borderId="62" xfId="1" applyNumberFormat="1" applyFont="1" applyFill="1" applyBorder="1" applyAlignment="1">
      <alignment horizontal="center" vertical="center"/>
    </xf>
    <xf numFmtId="14" fontId="4" fillId="0" borderId="62" xfId="1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0" borderId="9" xfId="0" applyBorder="1" applyAlignment="1">
      <alignment horizontal="center"/>
    </xf>
    <xf numFmtId="14" fontId="4" fillId="0" borderId="16" xfId="1" applyNumberFormat="1" applyFont="1" applyBorder="1" applyAlignment="1">
      <alignment horizontal="center" vertical="center"/>
    </xf>
    <xf numFmtId="14" fontId="28" fillId="7" borderId="6" xfId="1" applyNumberFormat="1" applyFont="1" applyFill="1" applyBorder="1" applyAlignment="1">
      <alignment horizontal="left" vertical="center"/>
    </xf>
    <xf numFmtId="0" fontId="25" fillId="6" borderId="35" xfId="1" applyFont="1" applyFill="1" applyBorder="1" applyAlignment="1">
      <alignment horizontal="center" wrapText="1"/>
    </xf>
    <xf numFmtId="0" fontId="24" fillId="6" borderId="11" xfId="1" applyFont="1" applyFill="1" applyBorder="1" applyAlignment="1">
      <alignment horizontal="center" wrapText="1"/>
    </xf>
    <xf numFmtId="165" fontId="4" fillId="0" borderId="0" xfId="1" applyNumberFormat="1" applyFont="1" applyAlignment="1">
      <alignment vertical="center"/>
    </xf>
    <xf numFmtId="0" fontId="5" fillId="0" borderId="0" xfId="1" applyFont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2" fontId="5" fillId="3" borderId="3" xfId="1" applyNumberFormat="1" applyFont="1" applyFill="1" applyBorder="1" applyAlignment="1">
      <alignment horizontal="center" vertical="center"/>
    </xf>
    <xf numFmtId="2" fontId="5" fillId="3" borderId="7" xfId="1" applyNumberFormat="1" applyFont="1" applyFill="1" applyBorder="1" applyAlignment="1">
      <alignment horizontal="center" vertical="center"/>
    </xf>
    <xf numFmtId="2" fontId="5" fillId="3" borderId="3" xfId="1" applyNumberFormat="1" applyFont="1" applyFill="1" applyBorder="1" applyAlignment="1">
      <alignment horizontal="center" vertical="center" wrapText="1"/>
    </xf>
    <xf numFmtId="2" fontId="5" fillId="3" borderId="7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165" fontId="4" fillId="4" borderId="18" xfId="1" applyNumberFormat="1" applyFont="1" applyFill="1" applyBorder="1" applyAlignment="1">
      <alignment horizontal="center" vertical="center"/>
    </xf>
    <xf numFmtId="165" fontId="4" fillId="4" borderId="12" xfId="1" applyNumberFormat="1" applyFont="1" applyFill="1" applyBorder="1" applyAlignment="1">
      <alignment horizontal="center" vertical="center"/>
    </xf>
    <xf numFmtId="0" fontId="5" fillId="4" borderId="18" xfId="1" applyFont="1" applyFill="1" applyBorder="1" applyAlignment="1">
      <alignment horizontal="center" vertical="center"/>
    </xf>
    <xf numFmtId="0" fontId="5" fillId="4" borderId="12" xfId="1" applyFont="1" applyFill="1" applyBorder="1" applyAlignment="1">
      <alignment horizontal="center" vertical="center"/>
    </xf>
    <xf numFmtId="165" fontId="4" fillId="4" borderId="7" xfId="1" applyNumberFormat="1" applyFont="1" applyFill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59" xfId="1" applyFont="1" applyBorder="1" applyAlignment="1">
      <alignment horizontal="center" vertical="center"/>
    </xf>
    <xf numFmtId="14" fontId="4" fillId="4" borderId="9" xfId="1" applyNumberFormat="1" applyFont="1" applyFill="1" applyBorder="1" applyAlignment="1">
      <alignment horizontal="center" vertical="center" wrapText="1"/>
    </xf>
    <xf numFmtId="14" fontId="4" fillId="4" borderId="60" xfId="1" applyNumberFormat="1" applyFont="1" applyFill="1" applyBorder="1" applyAlignment="1">
      <alignment horizontal="center" vertical="center" wrapText="1"/>
    </xf>
    <xf numFmtId="14" fontId="4" fillId="4" borderId="10" xfId="1" applyNumberFormat="1" applyFont="1" applyFill="1" applyBorder="1" applyAlignment="1">
      <alignment horizontal="center" vertical="center" wrapText="1"/>
    </xf>
    <xf numFmtId="14" fontId="4" fillId="4" borderId="61" xfId="1" applyNumberFormat="1" applyFont="1" applyFill="1" applyBorder="1" applyAlignment="1">
      <alignment horizontal="center" vertical="center" wrapText="1"/>
    </xf>
    <xf numFmtId="0" fontId="4" fillId="4" borderId="11" xfId="1" applyFont="1" applyFill="1" applyBorder="1" applyAlignment="1">
      <alignment horizontal="center" vertical="center" wrapText="1"/>
    </xf>
    <xf numFmtId="0" fontId="4" fillId="4" borderId="59" xfId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26" xfId="0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33" xfId="0" applyFont="1" applyFill="1" applyBorder="1" applyAlignment="1">
      <alignment horizontal="center" vertical="center" wrapText="1"/>
    </xf>
    <xf numFmtId="0" fontId="8" fillId="5" borderId="24" xfId="0" applyFont="1" applyFill="1" applyBorder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27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 wrapText="1"/>
    </xf>
    <xf numFmtId="0" fontId="11" fillId="5" borderId="28" xfId="0" applyFont="1" applyFill="1" applyBorder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11" fillId="5" borderId="29" xfId="0" applyFont="1" applyFill="1" applyBorder="1" applyAlignment="1">
      <alignment horizontal="center" vertical="center" wrapText="1"/>
    </xf>
    <xf numFmtId="0" fontId="12" fillId="5" borderId="29" xfId="0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49" fontId="17" fillId="4" borderId="32" xfId="0" applyNumberFormat="1" applyFont="1" applyFill="1" applyBorder="1" applyAlignment="1">
      <alignment horizontal="center" vertical="center"/>
    </xf>
    <xf numFmtId="49" fontId="17" fillId="4" borderId="31" xfId="0" applyNumberFormat="1" applyFont="1" applyFill="1" applyBorder="1" applyAlignment="1">
      <alignment horizontal="center" vertical="center"/>
    </xf>
    <xf numFmtId="49" fontId="17" fillId="4" borderId="33" xfId="0" applyNumberFormat="1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 wrapText="1"/>
    </xf>
    <xf numFmtId="14" fontId="16" fillId="4" borderId="32" xfId="0" applyNumberFormat="1" applyFont="1" applyFill="1" applyBorder="1" applyAlignment="1">
      <alignment horizontal="center" vertical="center" wrapText="1"/>
    </xf>
    <xf numFmtId="14" fontId="16" fillId="4" borderId="31" xfId="0" applyNumberFormat="1" applyFont="1" applyFill="1" applyBorder="1" applyAlignment="1">
      <alignment horizontal="center" vertical="center" wrapText="1"/>
    </xf>
    <xf numFmtId="14" fontId="16" fillId="4" borderId="3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9" fillId="5" borderId="37" xfId="3" applyFont="1" applyFill="1" applyBorder="1" applyAlignment="1">
      <alignment horizontal="center" vertical="center" wrapText="1"/>
    </xf>
    <xf numFmtId="0" fontId="19" fillId="5" borderId="40" xfId="3" applyFont="1" applyFill="1" applyBorder="1" applyAlignment="1">
      <alignment horizontal="center" vertical="center" wrapText="1"/>
    </xf>
    <xf numFmtId="0" fontId="19" fillId="5" borderId="38" xfId="3" applyFont="1" applyFill="1" applyBorder="1" applyAlignment="1">
      <alignment horizontal="center" vertical="center" wrapText="1"/>
    </xf>
    <xf numFmtId="0" fontId="19" fillId="5" borderId="41" xfId="3" applyFont="1" applyFill="1" applyBorder="1" applyAlignment="1">
      <alignment horizontal="center" vertical="center" wrapText="1"/>
    </xf>
    <xf numFmtId="0" fontId="19" fillId="5" borderId="39" xfId="3" applyFont="1" applyFill="1" applyBorder="1" applyAlignment="1">
      <alignment horizontal="center" vertical="center" wrapText="1"/>
    </xf>
    <xf numFmtId="0" fontId="19" fillId="5" borderId="25" xfId="3" applyFont="1" applyFill="1" applyBorder="1" applyAlignment="1">
      <alignment horizontal="center" vertical="center" wrapText="1"/>
    </xf>
    <xf numFmtId="0" fontId="19" fillId="5" borderId="26" xfId="3" applyFont="1" applyFill="1" applyBorder="1" applyAlignment="1">
      <alignment horizontal="center" vertical="center" wrapText="1"/>
    </xf>
    <xf numFmtId="0" fontId="19" fillId="5" borderId="42" xfId="3" applyFont="1" applyFill="1" applyBorder="1" applyAlignment="1">
      <alignment horizontal="center" vertical="center" wrapText="1"/>
    </xf>
    <xf numFmtId="0" fontId="19" fillId="5" borderId="2" xfId="3" applyFont="1" applyFill="1" applyBorder="1" applyAlignment="1">
      <alignment horizontal="center" vertical="center" wrapText="1"/>
    </xf>
    <xf numFmtId="0" fontId="19" fillId="5" borderId="27" xfId="3" applyFont="1" applyFill="1" applyBorder="1" applyAlignment="1">
      <alignment horizontal="center" vertical="center" wrapText="1"/>
    </xf>
    <xf numFmtId="0" fontId="24" fillId="6" borderId="3" xfId="1" applyFont="1" applyFill="1" applyBorder="1" applyAlignment="1">
      <alignment horizontal="center" vertical="center" wrapText="1"/>
    </xf>
    <xf numFmtId="0" fontId="24" fillId="6" borderId="7" xfId="1" applyFont="1" applyFill="1" applyBorder="1" applyAlignment="1">
      <alignment horizontal="center" vertical="center" wrapText="1"/>
    </xf>
    <xf numFmtId="0" fontId="24" fillId="6" borderId="3" xfId="1" applyFont="1" applyFill="1" applyBorder="1" applyAlignment="1">
      <alignment horizontal="center" vertical="center"/>
    </xf>
    <xf numFmtId="0" fontId="24" fillId="6" borderId="29" xfId="1" applyFont="1" applyFill="1" applyBorder="1" applyAlignment="1">
      <alignment horizontal="center" vertical="center"/>
    </xf>
    <xf numFmtId="0" fontId="24" fillId="6" borderId="44" xfId="1" applyFont="1" applyFill="1" applyBorder="1" applyAlignment="1">
      <alignment horizontal="center" vertical="center" wrapText="1"/>
    </xf>
    <xf numFmtId="165" fontId="4" fillId="4" borderId="14" xfId="1" applyNumberFormat="1" applyFont="1" applyFill="1" applyBorder="1" applyAlignment="1">
      <alignment vertical="center"/>
    </xf>
  </cellXfs>
  <cellStyles count="4">
    <cellStyle name="Milliers 2" xfId="2" xr:uid="{66ACC880-77F2-445D-9EFB-993F92BA63FC}"/>
    <cellStyle name="Normal" xfId="0" builtinId="0"/>
    <cellStyle name="Normal 2" xfId="3" xr:uid="{F31E9BEB-900C-4201-9AFF-7C0B43D6599E}"/>
    <cellStyle name="Normal 6" xfId="1" xr:uid="{B6F25748-391D-468E-8525-06FEB3C984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3CD1-FD6E-4512-B65A-D33CD9081464}">
  <sheetPr>
    <pageSetUpPr fitToPage="1"/>
  </sheetPr>
  <dimension ref="A1:T48"/>
  <sheetViews>
    <sheetView topLeftCell="A22" workbookViewId="0">
      <selection activeCell="C22" sqref="C22"/>
    </sheetView>
  </sheetViews>
  <sheetFormatPr baseColWidth="10" defaultRowHeight="15" x14ac:dyDescent="0.25"/>
  <cols>
    <col min="2" max="2" width="40.42578125" customWidth="1"/>
    <col min="4" max="4" width="12.85546875" customWidth="1"/>
    <col min="5" max="5" width="12.7109375" bestFit="1" customWidth="1"/>
    <col min="7" max="8" width="12.7109375" bestFit="1" customWidth="1"/>
    <col min="13" max="14" width="12.7109375" bestFit="1" customWidth="1"/>
  </cols>
  <sheetData>
    <row r="1" spans="1:20" ht="15.75" x14ac:dyDescent="0.25">
      <c r="A1" s="242" t="s">
        <v>0</v>
      </c>
      <c r="B1" s="24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6.5" thickBot="1" x14ac:dyDescent="0.3">
      <c r="A2" s="243" t="s">
        <v>1</v>
      </c>
      <c r="B2" s="24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245" t="s">
        <v>2</v>
      </c>
      <c r="B3" s="245" t="s">
        <v>3</v>
      </c>
      <c r="C3" s="236" t="s">
        <v>4</v>
      </c>
      <c r="D3" s="236"/>
      <c r="E3" s="237"/>
      <c r="F3" s="235" t="s">
        <v>5</v>
      </c>
      <c r="G3" s="236"/>
      <c r="H3" s="237"/>
      <c r="I3" s="235" t="s">
        <v>6</v>
      </c>
      <c r="J3" s="236"/>
      <c r="K3" s="237"/>
      <c r="L3" s="235" t="s">
        <v>7</v>
      </c>
      <c r="M3" s="236"/>
      <c r="N3" s="237"/>
      <c r="O3" s="235" t="s">
        <v>8</v>
      </c>
      <c r="P3" s="236"/>
      <c r="Q3" s="237"/>
      <c r="R3" s="238" t="s">
        <v>9</v>
      </c>
      <c r="S3" s="240" t="s">
        <v>10</v>
      </c>
      <c r="T3" s="238" t="s">
        <v>11</v>
      </c>
    </row>
    <row r="4" spans="1:20" ht="15.75" x14ac:dyDescent="0.25">
      <c r="A4" s="246"/>
      <c r="B4" s="246"/>
      <c r="C4" s="2" t="s">
        <v>12</v>
      </c>
      <c r="D4" s="3" t="s">
        <v>13</v>
      </c>
      <c r="E4" s="4" t="s">
        <v>14</v>
      </c>
      <c r="F4" s="5" t="s">
        <v>12</v>
      </c>
      <c r="G4" s="3" t="s">
        <v>13</v>
      </c>
      <c r="H4" s="4" t="s">
        <v>14</v>
      </c>
      <c r="I4" s="5" t="s">
        <v>12</v>
      </c>
      <c r="J4" s="3" t="s">
        <v>13</v>
      </c>
      <c r="K4" s="4" t="s">
        <v>14</v>
      </c>
      <c r="L4" s="5" t="s">
        <v>12</v>
      </c>
      <c r="M4" s="3" t="s">
        <v>13</v>
      </c>
      <c r="N4" s="4" t="s">
        <v>14</v>
      </c>
      <c r="O4" s="5" t="s">
        <v>12</v>
      </c>
      <c r="P4" s="3" t="s">
        <v>13</v>
      </c>
      <c r="Q4" s="4" t="s">
        <v>15</v>
      </c>
      <c r="R4" s="239"/>
      <c r="S4" s="241"/>
      <c r="T4" s="239"/>
    </row>
    <row r="5" spans="1:20" ht="15.75" x14ac:dyDescent="0.25">
      <c r="A5" s="6">
        <v>920</v>
      </c>
      <c r="B5" s="7" t="s">
        <v>16</v>
      </c>
      <c r="C5" s="8">
        <v>1</v>
      </c>
      <c r="D5" s="9">
        <v>46034</v>
      </c>
      <c r="E5" s="10">
        <v>46034</v>
      </c>
      <c r="F5" s="11"/>
      <c r="G5" s="9"/>
      <c r="H5" s="10"/>
      <c r="I5" s="11"/>
      <c r="J5" s="12"/>
      <c r="K5" s="13"/>
      <c r="L5" s="11"/>
      <c r="M5" s="9"/>
      <c r="N5" s="10"/>
      <c r="O5" s="11"/>
      <c r="P5" s="12"/>
      <c r="Q5" s="13"/>
      <c r="R5" s="14"/>
      <c r="S5" s="15"/>
      <c r="T5" s="14"/>
    </row>
    <row r="6" spans="1:20" ht="16.5" customHeight="1" x14ac:dyDescent="0.25">
      <c r="A6" s="16">
        <v>921</v>
      </c>
      <c r="B6" s="17" t="s">
        <v>17</v>
      </c>
      <c r="C6" s="8"/>
      <c r="D6" s="9"/>
      <c r="E6" s="10"/>
      <c r="F6" s="11"/>
      <c r="G6" s="9"/>
      <c r="H6" s="10"/>
      <c r="I6" s="11"/>
      <c r="J6" s="12"/>
      <c r="K6" s="13"/>
      <c r="L6" s="11"/>
      <c r="M6" s="9"/>
      <c r="N6" s="10"/>
      <c r="O6" s="11"/>
      <c r="P6" s="12"/>
      <c r="Q6" s="13"/>
      <c r="R6" s="14"/>
      <c r="S6" s="15"/>
      <c r="T6" s="14"/>
    </row>
    <row r="7" spans="1:20" ht="15.75" x14ac:dyDescent="0.25">
      <c r="A7" s="16">
        <v>925</v>
      </c>
      <c r="B7" s="17" t="s">
        <v>18</v>
      </c>
      <c r="C7" s="18"/>
      <c r="D7" s="9"/>
      <c r="E7" s="10"/>
      <c r="F7" s="11"/>
      <c r="G7" s="9"/>
      <c r="H7" s="10"/>
      <c r="I7" s="19"/>
      <c r="J7" s="20"/>
      <c r="K7" s="21"/>
      <c r="L7" s="11"/>
      <c r="M7" s="22"/>
      <c r="N7" s="23"/>
      <c r="O7" s="19"/>
      <c r="P7" s="20"/>
      <c r="Q7" s="21"/>
      <c r="R7" s="14"/>
      <c r="S7" s="15"/>
      <c r="T7" s="14"/>
    </row>
    <row r="8" spans="1:20" ht="15.75" x14ac:dyDescent="0.25">
      <c r="A8" s="24">
        <v>930</v>
      </c>
      <c r="B8" s="25" t="s">
        <v>19</v>
      </c>
      <c r="C8" s="18"/>
      <c r="D8" s="9"/>
      <c r="E8" s="10"/>
      <c r="F8" s="11"/>
      <c r="G8" s="9"/>
      <c r="H8" s="10"/>
      <c r="I8" s="19"/>
      <c r="J8" s="20"/>
      <c r="K8" s="21"/>
      <c r="L8" s="26"/>
      <c r="M8" s="9"/>
      <c r="N8" s="23"/>
      <c r="O8" s="19"/>
      <c r="P8" s="20"/>
      <c r="Q8" s="21"/>
      <c r="R8" s="14"/>
      <c r="S8" s="15"/>
      <c r="T8" s="14"/>
    </row>
    <row r="9" spans="1:20" ht="15.75" x14ac:dyDescent="0.25">
      <c r="A9" s="16">
        <v>934</v>
      </c>
      <c r="B9" s="17" t="s">
        <v>20</v>
      </c>
      <c r="C9" s="18"/>
      <c r="D9" s="9"/>
      <c r="E9" s="10"/>
      <c r="F9" s="27"/>
      <c r="G9" s="9"/>
      <c r="H9" s="10"/>
      <c r="I9" s="19"/>
      <c r="J9" s="20"/>
      <c r="K9" s="21"/>
      <c r="L9" s="27"/>
      <c r="M9" s="9"/>
      <c r="N9" s="10"/>
      <c r="O9" s="19"/>
      <c r="P9" s="20"/>
      <c r="Q9" s="21"/>
      <c r="R9" s="14"/>
      <c r="S9" s="15"/>
      <c r="T9" s="14"/>
    </row>
    <row r="10" spans="1:20" ht="15.75" x14ac:dyDescent="0.25">
      <c r="A10" s="24">
        <v>937</v>
      </c>
      <c r="B10" s="25" t="s">
        <v>21</v>
      </c>
      <c r="C10" s="8"/>
      <c r="D10" s="28"/>
      <c r="E10" s="29"/>
      <c r="F10" s="11"/>
      <c r="G10" s="28"/>
      <c r="H10" s="29"/>
      <c r="I10" s="19"/>
      <c r="J10" s="20"/>
      <c r="K10" s="21"/>
      <c r="L10" s="27"/>
      <c r="M10" s="9"/>
      <c r="N10" s="10"/>
      <c r="O10" s="19"/>
      <c r="P10" s="20"/>
      <c r="Q10" s="21"/>
      <c r="R10" s="14"/>
      <c r="S10" s="15"/>
      <c r="T10" s="14"/>
    </row>
    <row r="11" spans="1:20" ht="15.75" x14ac:dyDescent="0.25">
      <c r="A11" s="24">
        <v>940</v>
      </c>
      <c r="B11" s="25" t="s">
        <v>22</v>
      </c>
      <c r="C11" s="18"/>
      <c r="D11" s="9"/>
      <c r="E11" s="10"/>
      <c r="F11" s="11"/>
      <c r="G11" s="9"/>
      <c r="H11" s="10"/>
      <c r="I11" s="19"/>
      <c r="J11" s="20"/>
      <c r="K11" s="21"/>
      <c r="L11" s="11"/>
      <c r="M11" s="30"/>
      <c r="N11" s="31"/>
      <c r="O11" s="19"/>
      <c r="P11" s="20"/>
      <c r="Q11" s="21"/>
      <c r="R11" s="14"/>
      <c r="S11" s="15"/>
      <c r="T11" s="14"/>
    </row>
    <row r="12" spans="1:20" ht="15.75" x14ac:dyDescent="0.25">
      <c r="A12" s="16">
        <v>941</v>
      </c>
      <c r="B12" s="7" t="s">
        <v>23</v>
      </c>
      <c r="C12" s="18">
        <v>5</v>
      </c>
      <c r="D12" s="9">
        <v>46041</v>
      </c>
      <c r="E12" s="10">
        <v>46045</v>
      </c>
      <c r="F12" s="11"/>
      <c r="G12" s="9"/>
      <c r="H12" s="10"/>
      <c r="I12" s="19"/>
      <c r="J12" s="20"/>
      <c r="K12" s="21"/>
      <c r="L12" s="11"/>
      <c r="M12" s="30"/>
      <c r="N12" s="31"/>
      <c r="O12" s="19"/>
      <c r="P12" s="20"/>
      <c r="Q12" s="21"/>
      <c r="R12" s="14"/>
      <c r="S12" s="15"/>
      <c r="T12" s="14"/>
    </row>
    <row r="13" spans="1:20" ht="15.75" x14ac:dyDescent="0.25">
      <c r="A13" s="16">
        <v>948</v>
      </c>
      <c r="B13" s="17" t="s">
        <v>24</v>
      </c>
      <c r="C13" s="8"/>
      <c r="D13" s="28"/>
      <c r="E13" s="29"/>
      <c r="F13" s="11"/>
      <c r="G13" s="28"/>
      <c r="H13" s="29"/>
      <c r="I13" s="19"/>
      <c r="J13" s="20"/>
      <c r="K13" s="21"/>
      <c r="L13" s="32"/>
      <c r="M13" s="9"/>
      <c r="N13" s="10"/>
      <c r="O13" s="19"/>
      <c r="P13" s="20"/>
      <c r="Q13" s="21"/>
      <c r="R13" s="14"/>
      <c r="S13" s="15"/>
      <c r="T13" s="14"/>
    </row>
    <row r="14" spans="1:20" ht="15.75" x14ac:dyDescent="0.25">
      <c r="A14" s="24">
        <v>950</v>
      </c>
      <c r="B14" s="25" t="s">
        <v>25</v>
      </c>
      <c r="C14" s="18"/>
      <c r="D14" s="9"/>
      <c r="E14" s="10"/>
      <c r="F14" s="11"/>
      <c r="G14" s="9"/>
      <c r="H14" s="10"/>
      <c r="I14" s="19"/>
      <c r="J14" s="20"/>
      <c r="K14" s="21"/>
      <c r="L14" s="11"/>
      <c r="M14" s="30"/>
      <c r="N14" s="31"/>
      <c r="O14" s="19"/>
      <c r="P14" s="20"/>
      <c r="Q14" s="21"/>
      <c r="R14" s="14"/>
      <c r="S14" s="15"/>
      <c r="T14" s="14"/>
    </row>
    <row r="15" spans="1:20" ht="15.75" x14ac:dyDescent="0.25">
      <c r="A15" s="24">
        <v>951</v>
      </c>
      <c r="B15" s="25" t="s">
        <v>26</v>
      </c>
      <c r="C15" s="8"/>
      <c r="D15" s="28"/>
      <c r="E15" s="29"/>
      <c r="F15" s="11"/>
      <c r="G15" s="28"/>
      <c r="H15" s="29"/>
      <c r="I15" s="19"/>
      <c r="J15" s="20"/>
      <c r="K15" s="21"/>
      <c r="L15" s="11"/>
      <c r="M15" s="22"/>
      <c r="N15" s="23"/>
      <c r="O15" s="19"/>
      <c r="P15" s="20"/>
      <c r="Q15" s="21"/>
      <c r="R15" s="14"/>
      <c r="S15" s="15"/>
      <c r="T15" s="14"/>
    </row>
    <row r="16" spans="1:20" ht="15.75" x14ac:dyDescent="0.25">
      <c r="A16" s="16">
        <v>952</v>
      </c>
      <c r="B16" s="17" t="s">
        <v>27</v>
      </c>
      <c r="C16" s="33">
        <v>4</v>
      </c>
      <c r="D16" s="30">
        <v>46037</v>
      </c>
      <c r="E16" s="31">
        <v>46041</v>
      </c>
      <c r="F16" s="11"/>
      <c r="G16" s="9"/>
      <c r="H16" s="10"/>
      <c r="I16" s="19"/>
      <c r="J16" s="20"/>
      <c r="K16" s="21"/>
      <c r="L16" s="11"/>
      <c r="M16" s="22"/>
      <c r="N16" s="23"/>
      <c r="O16" s="19"/>
      <c r="P16" s="20"/>
      <c r="Q16" s="21"/>
      <c r="R16" s="14"/>
      <c r="S16" s="15"/>
      <c r="T16" s="14"/>
    </row>
    <row r="17" spans="1:20" ht="15.75" x14ac:dyDescent="0.25">
      <c r="A17" s="24">
        <v>955</v>
      </c>
      <c r="B17" s="25" t="s">
        <v>28</v>
      </c>
      <c r="C17" s="18"/>
      <c r="D17" s="9"/>
      <c r="E17" s="10"/>
      <c r="F17" s="11"/>
      <c r="G17" s="9"/>
      <c r="H17" s="10"/>
      <c r="I17" s="19"/>
      <c r="J17" s="20"/>
      <c r="K17" s="21"/>
      <c r="L17" s="11"/>
      <c r="M17" s="22"/>
      <c r="N17" s="23"/>
      <c r="O17" s="19"/>
      <c r="P17" s="20"/>
      <c r="Q17" s="21"/>
      <c r="R17" s="14"/>
      <c r="S17" s="15"/>
      <c r="T17" s="14"/>
    </row>
    <row r="18" spans="1:20" ht="15.75" x14ac:dyDescent="0.25">
      <c r="A18" s="24">
        <v>958</v>
      </c>
      <c r="B18" s="25" t="s">
        <v>29</v>
      </c>
      <c r="C18" s="18">
        <v>15</v>
      </c>
      <c r="D18" s="9">
        <v>46041</v>
      </c>
      <c r="E18" s="10">
        <v>46057</v>
      </c>
      <c r="F18" s="11"/>
      <c r="G18" s="9"/>
      <c r="H18" s="10"/>
      <c r="I18" s="19"/>
      <c r="J18" s="20"/>
      <c r="K18" s="21"/>
      <c r="L18" s="11"/>
      <c r="M18" s="22"/>
      <c r="N18" s="23"/>
      <c r="O18" s="19"/>
      <c r="P18" s="20"/>
      <c r="Q18" s="21"/>
      <c r="R18" s="14"/>
      <c r="S18" s="15"/>
      <c r="T18" s="14"/>
    </row>
    <row r="19" spans="1:20" ht="15.75" x14ac:dyDescent="0.25">
      <c r="A19" s="24">
        <v>959</v>
      </c>
      <c r="B19" s="25" t="s">
        <v>30</v>
      </c>
      <c r="C19" s="8"/>
      <c r="D19" s="28"/>
      <c r="E19" s="29"/>
      <c r="F19" s="34">
        <v>1</v>
      </c>
      <c r="G19" s="28">
        <v>46031</v>
      </c>
      <c r="H19" s="29">
        <v>46031</v>
      </c>
      <c r="I19" s="34"/>
      <c r="J19" s="28"/>
      <c r="K19" s="29"/>
      <c r="L19" s="11"/>
      <c r="M19" s="9"/>
      <c r="N19" s="10"/>
      <c r="O19" s="19"/>
      <c r="P19" s="20"/>
      <c r="Q19" s="21"/>
      <c r="R19" s="14"/>
      <c r="S19" s="15"/>
      <c r="T19" s="14"/>
    </row>
    <row r="20" spans="1:20" ht="15.75" x14ac:dyDescent="0.25">
      <c r="A20" s="24">
        <v>962</v>
      </c>
      <c r="B20" s="25" t="s">
        <v>31</v>
      </c>
      <c r="C20" s="8"/>
      <c r="D20" s="28"/>
      <c r="E20" s="29"/>
      <c r="F20" s="34"/>
      <c r="G20" s="28"/>
      <c r="H20" s="29"/>
      <c r="I20" s="34"/>
      <c r="J20" s="28"/>
      <c r="K20" s="29"/>
      <c r="L20" s="11"/>
      <c r="M20" s="9"/>
      <c r="N20" s="10"/>
      <c r="O20" s="19"/>
      <c r="P20" s="20"/>
      <c r="Q20" s="21"/>
      <c r="R20" s="14"/>
      <c r="S20" s="15"/>
      <c r="T20" s="14"/>
    </row>
    <row r="21" spans="1:20" ht="15.75" x14ac:dyDescent="0.25">
      <c r="A21" s="24">
        <v>964</v>
      </c>
      <c r="B21" s="25" t="s">
        <v>32</v>
      </c>
      <c r="C21" s="8"/>
      <c r="D21" s="28"/>
      <c r="E21" s="29"/>
      <c r="F21" s="34"/>
      <c r="G21" s="28"/>
      <c r="H21" s="29"/>
      <c r="I21" s="34"/>
      <c r="J21" s="28"/>
      <c r="K21" s="29"/>
      <c r="L21" s="11"/>
      <c r="M21" s="9"/>
      <c r="N21" s="10"/>
      <c r="O21" s="19"/>
      <c r="P21" s="20"/>
      <c r="Q21" s="21"/>
      <c r="R21" s="14"/>
      <c r="S21" s="15"/>
      <c r="T21" s="14"/>
    </row>
    <row r="22" spans="1:20" ht="15.75" x14ac:dyDescent="0.25">
      <c r="A22" s="24">
        <v>969</v>
      </c>
      <c r="B22" s="35" t="s">
        <v>33</v>
      </c>
      <c r="C22" s="8"/>
      <c r="D22" s="28"/>
      <c r="E22" s="29"/>
      <c r="F22" s="34">
        <v>15</v>
      </c>
      <c r="G22" s="28">
        <v>46010</v>
      </c>
      <c r="H22" s="29">
        <v>46024</v>
      </c>
      <c r="I22" s="34"/>
      <c r="J22" s="28"/>
      <c r="K22" s="29"/>
      <c r="L22" s="11">
        <v>1</v>
      </c>
      <c r="M22" s="12">
        <v>46025</v>
      </c>
      <c r="N22" s="13">
        <v>46025</v>
      </c>
      <c r="O22" s="19"/>
      <c r="P22" s="20"/>
      <c r="Q22" s="21"/>
      <c r="R22" s="14"/>
      <c r="S22" s="15"/>
      <c r="T22" s="14"/>
    </row>
    <row r="23" spans="1:20" ht="15.75" x14ac:dyDescent="0.25">
      <c r="A23" s="24">
        <v>973</v>
      </c>
      <c r="B23" s="25" t="s">
        <v>34</v>
      </c>
      <c r="C23" s="8"/>
      <c r="D23" s="28"/>
      <c r="E23" s="29"/>
      <c r="F23" s="11"/>
      <c r="G23" s="28"/>
      <c r="H23" s="29"/>
      <c r="I23" s="34"/>
      <c r="J23" s="28"/>
      <c r="K23" s="29"/>
      <c r="L23" s="11"/>
      <c r="M23" s="9"/>
      <c r="N23" s="10"/>
      <c r="O23" s="19"/>
      <c r="P23" s="20"/>
      <c r="Q23" s="21"/>
      <c r="R23" s="14"/>
      <c r="S23" s="15"/>
      <c r="T23" s="14"/>
    </row>
    <row r="24" spans="1:20" ht="15.75" x14ac:dyDescent="0.25">
      <c r="A24" s="24">
        <v>981</v>
      </c>
      <c r="B24" s="25" t="s">
        <v>35</v>
      </c>
      <c r="C24" s="8"/>
      <c r="D24" s="28"/>
      <c r="E24" s="29"/>
      <c r="F24" s="11"/>
      <c r="G24" s="28"/>
      <c r="H24" s="29"/>
      <c r="I24" s="34"/>
      <c r="J24" s="28"/>
      <c r="K24" s="29"/>
      <c r="L24" s="11"/>
      <c r="M24" s="36"/>
      <c r="N24" s="37"/>
      <c r="O24" s="19"/>
      <c r="P24" s="20"/>
      <c r="Q24" s="21"/>
      <c r="R24" s="14"/>
      <c r="S24" s="15"/>
      <c r="T24" s="14"/>
    </row>
    <row r="25" spans="1:20" ht="15.75" x14ac:dyDescent="0.25">
      <c r="A25" s="24">
        <v>982</v>
      </c>
      <c r="B25" s="25" t="s">
        <v>36</v>
      </c>
      <c r="C25" s="8"/>
      <c r="D25" s="9"/>
      <c r="E25" s="10"/>
      <c r="F25" s="11"/>
      <c r="G25" s="9"/>
      <c r="H25" s="10"/>
      <c r="I25" s="34"/>
      <c r="J25" s="28"/>
      <c r="K25" s="29"/>
      <c r="L25" s="11"/>
      <c r="M25" s="22"/>
      <c r="N25" s="23"/>
      <c r="O25" s="19"/>
      <c r="P25" s="20"/>
      <c r="Q25" s="21"/>
      <c r="R25" s="14"/>
      <c r="S25" s="15"/>
      <c r="T25" s="14"/>
    </row>
    <row r="26" spans="1:20" ht="15.75" x14ac:dyDescent="0.25">
      <c r="A26" s="24">
        <v>983</v>
      </c>
      <c r="B26" s="25" t="s">
        <v>37</v>
      </c>
      <c r="C26" s="8"/>
      <c r="D26" s="28"/>
      <c r="E26" s="29"/>
      <c r="F26" s="11">
        <v>3</v>
      </c>
      <c r="G26" s="28">
        <v>46031</v>
      </c>
      <c r="H26" s="29">
        <v>46033</v>
      </c>
      <c r="I26" s="19"/>
      <c r="J26" s="20"/>
      <c r="K26" s="21"/>
      <c r="L26" s="11">
        <v>1</v>
      </c>
      <c r="M26" s="9">
        <v>46030</v>
      </c>
      <c r="N26" s="10">
        <v>46030</v>
      </c>
      <c r="O26" s="19"/>
      <c r="P26" s="20"/>
      <c r="Q26" s="21"/>
      <c r="R26" s="14"/>
      <c r="S26" s="15"/>
      <c r="T26" s="14"/>
    </row>
    <row r="27" spans="1:20" ht="15.75" x14ac:dyDescent="0.25">
      <c r="A27" s="16">
        <v>985</v>
      </c>
      <c r="B27" s="17" t="s">
        <v>38</v>
      </c>
      <c r="C27" s="8"/>
      <c r="D27" s="28"/>
      <c r="E27" s="29"/>
      <c r="F27" s="38"/>
      <c r="G27" s="39"/>
      <c r="H27" s="40"/>
      <c r="I27" s="19"/>
      <c r="J27" s="20"/>
      <c r="K27" s="21"/>
      <c r="L27" s="11"/>
      <c r="M27" s="9"/>
      <c r="N27" s="10"/>
      <c r="O27" s="19"/>
      <c r="P27" s="20"/>
      <c r="Q27" s="21"/>
      <c r="R27" s="14"/>
      <c r="S27" s="15"/>
      <c r="T27" s="14"/>
    </row>
    <row r="28" spans="1:20" ht="15.75" x14ac:dyDescent="0.25">
      <c r="A28" s="24">
        <v>986</v>
      </c>
      <c r="B28" s="25" t="s">
        <v>39</v>
      </c>
      <c r="C28" s="8"/>
      <c r="D28" s="28"/>
      <c r="E28" s="29"/>
      <c r="F28" s="11"/>
      <c r="G28" s="28"/>
      <c r="H28" s="29"/>
      <c r="I28" s="19"/>
      <c r="J28" s="20"/>
      <c r="K28" s="21"/>
      <c r="L28" s="32"/>
      <c r="M28" s="22"/>
      <c r="N28" s="23"/>
      <c r="O28" s="19"/>
      <c r="P28" s="20"/>
      <c r="Q28" s="21"/>
      <c r="R28" s="14"/>
      <c r="S28" s="15"/>
      <c r="T28" s="14"/>
    </row>
    <row r="29" spans="1:20" ht="15.75" x14ac:dyDescent="0.25">
      <c r="A29" s="24">
        <v>1642</v>
      </c>
      <c r="B29" s="25" t="s">
        <v>40</v>
      </c>
      <c r="C29" s="18"/>
      <c r="D29" s="9"/>
      <c r="E29" s="10"/>
      <c r="F29" s="11"/>
      <c r="G29" s="9"/>
      <c r="H29" s="10"/>
      <c r="I29" s="11"/>
      <c r="J29" s="30"/>
      <c r="K29" s="31"/>
      <c r="L29" s="11"/>
      <c r="M29" s="30"/>
      <c r="N29" s="31"/>
      <c r="O29" s="19"/>
      <c r="P29" s="20"/>
      <c r="Q29" s="21"/>
      <c r="R29" s="14"/>
      <c r="S29" s="15"/>
      <c r="T29" s="14"/>
    </row>
    <row r="30" spans="1:20" ht="15.75" x14ac:dyDescent="0.25">
      <c r="A30" s="16">
        <v>1665</v>
      </c>
      <c r="B30" s="17" t="s">
        <v>41</v>
      </c>
      <c r="C30" s="18"/>
      <c r="D30" s="9"/>
      <c r="E30" s="10"/>
      <c r="F30" s="11">
        <v>3</v>
      </c>
      <c r="G30" s="9">
        <v>46015</v>
      </c>
      <c r="H30" s="10">
        <v>46017</v>
      </c>
      <c r="I30" s="19"/>
      <c r="J30" s="20"/>
      <c r="K30" s="21"/>
      <c r="L30" s="11"/>
      <c r="M30" s="12"/>
      <c r="N30" s="13"/>
      <c r="O30" s="19"/>
      <c r="P30" s="20"/>
      <c r="Q30" s="21"/>
      <c r="R30" s="14"/>
      <c r="S30" s="15"/>
      <c r="T30" s="14"/>
    </row>
    <row r="31" spans="1:20" ht="15.75" x14ac:dyDescent="0.25">
      <c r="A31" s="24">
        <v>2423</v>
      </c>
      <c r="B31" s="25" t="s">
        <v>42</v>
      </c>
      <c r="C31" s="18"/>
      <c r="D31" s="9"/>
      <c r="E31" s="10"/>
      <c r="F31" s="32"/>
      <c r="G31" s="9"/>
      <c r="H31" s="10"/>
      <c r="I31" s="19"/>
      <c r="J31" s="20"/>
      <c r="K31" s="21"/>
      <c r="L31" s="11"/>
      <c r="M31" s="22"/>
      <c r="N31" s="23"/>
      <c r="O31" s="19"/>
      <c r="P31" s="20"/>
      <c r="Q31" s="21"/>
      <c r="R31" s="14"/>
      <c r="S31" s="15"/>
      <c r="T31" s="14"/>
    </row>
    <row r="32" spans="1:20" ht="15.75" x14ac:dyDescent="0.25">
      <c r="A32" s="24">
        <v>2424</v>
      </c>
      <c r="B32" s="25" t="s">
        <v>43</v>
      </c>
      <c r="C32" s="18"/>
      <c r="D32" s="9"/>
      <c r="E32" s="10"/>
      <c r="F32" s="11"/>
      <c r="G32" s="9"/>
      <c r="H32" s="10"/>
      <c r="I32" s="19"/>
      <c r="J32" s="20"/>
      <c r="K32" s="21"/>
      <c r="L32" s="11"/>
      <c r="M32" s="9"/>
      <c r="N32" s="10"/>
      <c r="O32" s="19"/>
      <c r="P32" s="20"/>
      <c r="Q32" s="21"/>
      <c r="R32" s="14"/>
      <c r="S32" s="15"/>
      <c r="T32" s="14"/>
    </row>
    <row r="33" spans="1:20" ht="15.75" x14ac:dyDescent="0.25">
      <c r="A33" s="24">
        <v>2425</v>
      </c>
      <c r="B33" s="25" t="s">
        <v>44</v>
      </c>
      <c r="C33" s="18"/>
      <c r="D33" s="9"/>
      <c r="E33" s="10"/>
      <c r="F33" s="11"/>
      <c r="G33" s="9"/>
      <c r="H33" s="10"/>
      <c r="I33" s="19"/>
      <c r="J33" s="20"/>
      <c r="K33" s="21"/>
      <c r="L33" s="27"/>
      <c r="M33" s="9"/>
      <c r="N33" s="10"/>
      <c r="O33" s="19"/>
      <c r="P33" s="20"/>
      <c r="Q33" s="21"/>
      <c r="R33" s="14"/>
      <c r="S33" s="15"/>
      <c r="T33" s="14"/>
    </row>
    <row r="34" spans="1:20" ht="15.75" x14ac:dyDescent="0.25">
      <c r="A34" s="16">
        <v>2426</v>
      </c>
      <c r="B34" s="17" t="s">
        <v>45</v>
      </c>
      <c r="C34" s="18"/>
      <c r="D34" s="9"/>
      <c r="E34" s="10"/>
      <c r="F34" s="11"/>
      <c r="G34" s="9"/>
      <c r="H34" s="10"/>
      <c r="I34" s="19"/>
      <c r="J34" s="20"/>
      <c r="K34" s="21"/>
      <c r="L34" s="34"/>
      <c r="M34" s="9"/>
      <c r="N34" s="10"/>
      <c r="O34" s="19"/>
      <c r="P34" s="20"/>
      <c r="Q34" s="21"/>
      <c r="R34" s="14"/>
      <c r="S34" s="15"/>
      <c r="T34" s="14"/>
    </row>
    <row r="35" spans="1:20" ht="15.75" x14ac:dyDescent="0.25">
      <c r="A35" s="24">
        <v>2427</v>
      </c>
      <c r="B35" s="25" t="s">
        <v>46</v>
      </c>
      <c r="C35" s="18"/>
      <c r="D35" s="9"/>
      <c r="E35" s="10"/>
      <c r="F35" s="27"/>
      <c r="G35" s="9"/>
      <c r="H35" s="10"/>
      <c r="I35" s="19"/>
      <c r="J35" s="20"/>
      <c r="K35" s="21"/>
      <c r="L35" s="34"/>
      <c r="M35" s="9"/>
      <c r="N35" s="10"/>
      <c r="O35" s="19"/>
      <c r="P35" s="20"/>
      <c r="Q35" s="21"/>
      <c r="R35" s="14"/>
      <c r="S35" s="15"/>
      <c r="T35" s="14"/>
    </row>
    <row r="36" spans="1:20" ht="15.75" x14ac:dyDescent="0.25">
      <c r="A36" s="24">
        <v>2429</v>
      </c>
      <c r="B36" s="25" t="s">
        <v>47</v>
      </c>
      <c r="C36" s="18"/>
      <c r="D36" s="9"/>
      <c r="E36" s="10"/>
      <c r="F36" s="11"/>
      <c r="G36" s="9"/>
      <c r="H36" s="10"/>
      <c r="I36" s="19"/>
      <c r="J36" s="20"/>
      <c r="K36" s="21"/>
      <c r="L36" s="34"/>
      <c r="M36" s="9"/>
      <c r="N36" s="10"/>
      <c r="O36" s="19"/>
      <c r="P36" s="20"/>
      <c r="Q36" s="21"/>
      <c r="R36" s="14"/>
      <c r="S36" s="15"/>
      <c r="T36" s="14"/>
    </row>
    <row r="37" spans="1:20" ht="15.75" x14ac:dyDescent="0.25">
      <c r="A37" s="24">
        <v>7793</v>
      </c>
      <c r="B37" s="25" t="s">
        <v>48</v>
      </c>
      <c r="C37" s="18"/>
      <c r="D37" s="9"/>
      <c r="E37" s="10"/>
      <c r="F37" s="11"/>
      <c r="G37" s="9"/>
      <c r="H37" s="10"/>
      <c r="I37" s="19"/>
      <c r="J37" s="20"/>
      <c r="K37" s="21"/>
      <c r="L37" s="34"/>
      <c r="M37" s="9"/>
      <c r="N37" s="10"/>
      <c r="O37" s="19"/>
      <c r="P37" s="20"/>
      <c r="Q37" s="21"/>
      <c r="R37" s="14"/>
      <c r="S37" s="15"/>
      <c r="T37" s="14"/>
    </row>
    <row r="38" spans="1:20" ht="15.75" x14ac:dyDescent="0.25">
      <c r="A38" s="24">
        <v>7790</v>
      </c>
      <c r="B38" s="25" t="s">
        <v>49</v>
      </c>
      <c r="C38" s="18"/>
      <c r="D38" s="9"/>
      <c r="E38" s="10"/>
      <c r="F38" s="11"/>
      <c r="G38" s="9"/>
      <c r="H38" s="10"/>
      <c r="I38" s="19"/>
      <c r="J38" s="20"/>
      <c r="K38" s="21"/>
      <c r="L38" s="34"/>
      <c r="M38" s="9"/>
      <c r="N38" s="10"/>
      <c r="O38" s="19"/>
      <c r="P38" s="20"/>
      <c r="Q38" s="21"/>
      <c r="R38" s="14"/>
      <c r="S38" s="15"/>
      <c r="T38" s="14"/>
    </row>
    <row r="39" spans="1:20" ht="15.75" x14ac:dyDescent="0.25">
      <c r="A39" s="24">
        <v>7791</v>
      </c>
      <c r="B39" s="25" t="s">
        <v>50</v>
      </c>
      <c r="C39" s="18"/>
      <c r="D39" s="9"/>
      <c r="E39" s="10"/>
      <c r="F39" s="11"/>
      <c r="G39" s="9"/>
      <c r="H39" s="10"/>
      <c r="I39" s="19"/>
      <c r="J39" s="20"/>
      <c r="K39" s="21"/>
      <c r="L39" s="34"/>
      <c r="M39" s="9"/>
      <c r="N39" s="10"/>
      <c r="O39" s="19"/>
      <c r="P39" s="20"/>
      <c r="Q39" s="21"/>
      <c r="R39" s="14"/>
      <c r="S39" s="15"/>
      <c r="T39" s="14"/>
    </row>
    <row r="40" spans="1:20" ht="15.75" x14ac:dyDescent="0.25">
      <c r="A40" s="16">
        <v>7792</v>
      </c>
      <c r="B40" s="17" t="s">
        <v>51</v>
      </c>
      <c r="C40" s="18"/>
      <c r="D40" s="9"/>
      <c r="E40" s="10"/>
      <c r="F40" s="11"/>
      <c r="G40" s="9"/>
      <c r="H40" s="10"/>
      <c r="I40" s="19"/>
      <c r="J40" s="20"/>
      <c r="K40" s="21"/>
      <c r="L40" s="34"/>
      <c r="M40" s="9"/>
      <c r="N40" s="10"/>
      <c r="O40" s="19"/>
      <c r="P40" s="20"/>
      <c r="Q40" s="21"/>
      <c r="R40" s="14"/>
      <c r="S40" s="15"/>
      <c r="T40" s="14"/>
    </row>
    <row r="41" spans="1:20" ht="15.75" x14ac:dyDescent="0.25">
      <c r="A41" s="16">
        <v>7788</v>
      </c>
      <c r="B41" s="17" t="s">
        <v>52</v>
      </c>
      <c r="C41" s="18"/>
      <c r="D41" s="9"/>
      <c r="E41" s="10"/>
      <c r="F41" s="11"/>
      <c r="G41" s="9"/>
      <c r="H41" s="10"/>
      <c r="I41" s="19"/>
      <c r="J41" s="20"/>
      <c r="K41" s="21"/>
      <c r="L41" s="34"/>
      <c r="M41" s="9"/>
      <c r="N41" s="10"/>
      <c r="O41" s="19"/>
      <c r="P41" s="20"/>
      <c r="Q41" s="21"/>
      <c r="R41" s="14"/>
      <c r="S41" s="15"/>
      <c r="T41" s="14"/>
    </row>
    <row r="42" spans="1:20" ht="15.75" x14ac:dyDescent="0.25">
      <c r="A42" s="24">
        <v>5709</v>
      </c>
      <c r="B42" s="25" t="s">
        <v>53</v>
      </c>
      <c r="C42" s="18"/>
      <c r="D42" s="9"/>
      <c r="E42" s="10"/>
      <c r="F42" s="11"/>
      <c r="G42" s="9"/>
      <c r="H42" s="10"/>
      <c r="I42" s="19"/>
      <c r="J42" s="20"/>
      <c r="K42" s="21"/>
      <c r="L42" s="34"/>
      <c r="M42" s="9"/>
      <c r="N42" s="10"/>
      <c r="O42" s="19"/>
      <c r="P42" s="20"/>
      <c r="Q42" s="21"/>
      <c r="R42" s="14"/>
      <c r="S42" s="15"/>
      <c r="T42" s="14"/>
    </row>
    <row r="43" spans="1:20" ht="15.75" x14ac:dyDescent="0.25">
      <c r="A43" s="16">
        <v>5710</v>
      </c>
      <c r="B43" s="17" t="s">
        <v>54</v>
      </c>
      <c r="C43" s="18"/>
      <c r="D43" s="9"/>
      <c r="E43" s="10"/>
      <c r="F43" s="38"/>
      <c r="G43" s="41"/>
      <c r="H43" s="42"/>
      <c r="I43" s="19"/>
      <c r="J43" s="20"/>
      <c r="K43" s="21"/>
      <c r="L43" s="34">
        <v>1</v>
      </c>
      <c r="M43" s="9">
        <v>46020</v>
      </c>
      <c r="N43" s="10">
        <v>46020</v>
      </c>
      <c r="O43" s="19"/>
      <c r="P43" s="20"/>
      <c r="Q43" s="21"/>
      <c r="R43" s="14"/>
      <c r="S43" s="15"/>
      <c r="T43" s="14"/>
    </row>
    <row r="44" spans="1:20" ht="15.75" x14ac:dyDescent="0.25">
      <c r="A44" s="16">
        <v>113</v>
      </c>
      <c r="B44" s="17" t="s">
        <v>55</v>
      </c>
      <c r="C44" s="43"/>
      <c r="D44" s="44"/>
      <c r="E44" s="44"/>
      <c r="F44" s="45"/>
      <c r="G44" s="9"/>
      <c r="H44" s="10"/>
      <c r="I44" s="19"/>
      <c r="J44" s="20"/>
      <c r="K44" s="21"/>
      <c r="L44" s="11"/>
      <c r="M44" s="22"/>
      <c r="N44" s="23"/>
      <c r="O44" s="19"/>
      <c r="P44" s="20"/>
      <c r="Q44" s="21"/>
      <c r="R44" s="14"/>
      <c r="S44" s="15"/>
      <c r="T44" s="14"/>
    </row>
    <row r="45" spans="1:20" ht="16.5" thickBot="1" x14ac:dyDescent="0.3">
      <c r="A45" s="46">
        <v>7787</v>
      </c>
      <c r="B45" s="47" t="s">
        <v>56</v>
      </c>
      <c r="C45" s="48"/>
      <c r="D45" s="49"/>
      <c r="E45" s="50"/>
      <c r="F45" s="51"/>
      <c r="G45" s="49"/>
      <c r="H45" s="50"/>
      <c r="I45" s="51"/>
      <c r="J45" s="52"/>
      <c r="K45" s="53"/>
      <c r="L45" s="51"/>
      <c r="M45" s="52"/>
      <c r="N45" s="53"/>
      <c r="O45" s="54"/>
      <c r="P45" s="55"/>
      <c r="Q45" s="56"/>
      <c r="R45" s="57"/>
      <c r="S45" s="58"/>
      <c r="T45" s="57"/>
    </row>
    <row r="46" spans="1:20" ht="15.75" x14ac:dyDescent="0.25">
      <c r="A46" s="1">
        <v>42</v>
      </c>
      <c r="B46" s="59"/>
      <c r="C46" s="60">
        <f>SUM(C5:C45)</f>
        <v>25</v>
      </c>
      <c r="D46" s="60"/>
      <c r="E46" s="60"/>
      <c r="F46" s="60">
        <f>SUM(F5:F45)</f>
        <v>22</v>
      </c>
      <c r="G46" s="60"/>
      <c r="H46" s="60"/>
      <c r="I46" s="61">
        <f>SUM(I4:I45)</f>
        <v>0</v>
      </c>
      <c r="J46" s="60"/>
      <c r="K46" s="60"/>
      <c r="L46" s="60">
        <f>SUM(L5:L44)</f>
        <v>3</v>
      </c>
      <c r="M46" s="60"/>
      <c r="N46" s="60"/>
      <c r="O46" s="60">
        <v>0</v>
      </c>
      <c r="P46" s="60"/>
      <c r="Q46" s="60"/>
      <c r="R46" s="62"/>
      <c r="S46" s="63">
        <f>SUM(S5:S44)</f>
        <v>0</v>
      </c>
      <c r="T46" s="63">
        <f>SUM(T5:T44)</f>
        <v>0</v>
      </c>
    </row>
    <row r="47" spans="1:20" ht="15.75" x14ac:dyDescent="0.25">
      <c r="A47" s="60"/>
      <c r="B47" s="64" t="s">
        <v>57</v>
      </c>
      <c r="C47" s="65"/>
      <c r="D47" s="1"/>
      <c r="E47" s="1"/>
      <c r="F47" s="65"/>
      <c r="G47" s="1"/>
      <c r="H47" s="1"/>
      <c r="I47" s="65"/>
      <c r="J47" s="1"/>
      <c r="K47" s="1"/>
      <c r="L47" s="65"/>
      <c r="M47" s="1"/>
      <c r="N47" s="59"/>
      <c r="O47" s="65"/>
      <c r="P47" s="1"/>
      <c r="Q47" s="1"/>
      <c r="R47" s="1"/>
      <c r="S47" s="66"/>
      <c r="T47" s="66"/>
    </row>
    <row r="48" spans="1:20" ht="15.75" x14ac:dyDescent="0.25">
      <c r="A48" s="60"/>
      <c r="B48" s="67" t="s">
        <v>58</v>
      </c>
      <c r="C48" s="65"/>
      <c r="D48" s="1"/>
      <c r="E48" s="67"/>
      <c r="F48" s="65"/>
      <c r="G48" s="1"/>
      <c r="H48" s="1"/>
      <c r="I48" s="65"/>
      <c r="J48" s="1"/>
      <c r="K48" s="1"/>
      <c r="L48" s="65"/>
      <c r="M48" s="234" t="s">
        <v>59</v>
      </c>
      <c r="N48" s="234"/>
      <c r="O48" s="234"/>
      <c r="P48" s="234"/>
      <c r="Q48" s="234"/>
      <c r="R48" s="234"/>
      <c r="S48" s="1"/>
      <c r="T48" s="1"/>
    </row>
  </sheetData>
  <mergeCells count="13">
    <mergeCell ref="M48:R48"/>
    <mergeCell ref="I3:K3"/>
    <mergeCell ref="L3:N3"/>
    <mergeCell ref="O3:Q3"/>
    <mergeCell ref="R3:R4"/>
    <mergeCell ref="S3:S4"/>
    <mergeCell ref="T3:T4"/>
    <mergeCell ref="A1:B1"/>
    <mergeCell ref="A2:B2"/>
    <mergeCell ref="A3:A4"/>
    <mergeCell ref="B3:B4"/>
    <mergeCell ref="C3:E3"/>
    <mergeCell ref="F3:H3"/>
  </mergeCells>
  <pageMargins left="0.7" right="0.7" top="0.75" bottom="0.75" header="0.3" footer="0.3"/>
  <pageSetup paperSize="9" scale="4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67D7-36FC-489E-BB43-0BC3CC80310C}">
  <sheetPr>
    <pageSetUpPr fitToPage="1"/>
  </sheetPr>
  <dimension ref="A1:T50"/>
  <sheetViews>
    <sheetView topLeftCell="A25" workbookViewId="0">
      <selection activeCell="B37" sqref="B37"/>
    </sheetView>
  </sheetViews>
  <sheetFormatPr baseColWidth="10" defaultRowHeight="15" x14ac:dyDescent="0.25"/>
  <cols>
    <col min="2" max="2" width="32" customWidth="1"/>
    <col min="4" max="5" width="12.7109375" bestFit="1" customWidth="1"/>
    <col min="7" max="8" width="12.7109375" bestFit="1" customWidth="1"/>
    <col min="9" max="11" width="0" hidden="1" customWidth="1"/>
    <col min="13" max="14" width="12.7109375" bestFit="1" customWidth="1"/>
    <col min="16" max="17" width="13.5703125" customWidth="1"/>
    <col min="20" max="20" width="24.7109375" customWidth="1"/>
  </cols>
  <sheetData>
    <row r="1" spans="1:20" ht="15.75" x14ac:dyDescent="0.25">
      <c r="A1" s="242" t="s">
        <v>0</v>
      </c>
      <c r="B1" s="24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6.5" thickBot="1" x14ac:dyDescent="0.3">
      <c r="A2" s="243" t="s">
        <v>125</v>
      </c>
      <c r="B2" s="24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245" t="s">
        <v>2</v>
      </c>
      <c r="B3" s="245" t="s">
        <v>3</v>
      </c>
      <c r="C3" s="236" t="s">
        <v>4</v>
      </c>
      <c r="D3" s="236"/>
      <c r="E3" s="237"/>
      <c r="F3" s="235" t="s">
        <v>5</v>
      </c>
      <c r="G3" s="236"/>
      <c r="H3" s="237"/>
      <c r="I3" s="235" t="s">
        <v>6</v>
      </c>
      <c r="J3" s="236"/>
      <c r="K3" s="237"/>
      <c r="L3" s="235" t="s">
        <v>7</v>
      </c>
      <c r="M3" s="236"/>
      <c r="N3" s="237"/>
      <c r="O3" s="235" t="s">
        <v>8</v>
      </c>
      <c r="P3" s="236"/>
      <c r="Q3" s="237"/>
      <c r="R3" s="238" t="s">
        <v>9</v>
      </c>
      <c r="S3" s="240" t="s">
        <v>10</v>
      </c>
      <c r="T3" s="238" t="s">
        <v>11</v>
      </c>
    </row>
    <row r="4" spans="1:20" ht="15.75" x14ac:dyDescent="0.25">
      <c r="A4" s="246"/>
      <c r="B4" s="246"/>
      <c r="C4" s="2" t="s">
        <v>12</v>
      </c>
      <c r="D4" s="3" t="s">
        <v>13</v>
      </c>
      <c r="E4" s="4" t="s">
        <v>14</v>
      </c>
      <c r="F4" s="5" t="s">
        <v>12</v>
      </c>
      <c r="G4" s="3" t="s">
        <v>13</v>
      </c>
      <c r="H4" s="4" t="s">
        <v>14</v>
      </c>
      <c r="I4" s="5" t="s">
        <v>12</v>
      </c>
      <c r="J4" s="3" t="s">
        <v>13</v>
      </c>
      <c r="K4" s="4" t="s">
        <v>14</v>
      </c>
      <c r="L4" s="5" t="s">
        <v>12</v>
      </c>
      <c r="M4" s="3" t="s">
        <v>13</v>
      </c>
      <c r="N4" s="4" t="s">
        <v>14</v>
      </c>
      <c r="O4" s="5" t="s">
        <v>12</v>
      </c>
      <c r="P4" s="3" t="s">
        <v>13</v>
      </c>
      <c r="Q4" s="4" t="s">
        <v>15</v>
      </c>
      <c r="R4" s="239"/>
      <c r="S4" s="241"/>
      <c r="T4" s="239"/>
    </row>
    <row r="5" spans="1:20" ht="15.75" x14ac:dyDescent="0.25">
      <c r="A5" s="6">
        <v>920</v>
      </c>
      <c r="B5" s="7" t="s">
        <v>16</v>
      </c>
      <c r="C5" s="8">
        <v>5</v>
      </c>
      <c r="D5" s="9">
        <v>46065</v>
      </c>
      <c r="E5" s="10">
        <v>46070</v>
      </c>
      <c r="F5" s="11"/>
      <c r="G5" s="9"/>
      <c r="H5" s="10"/>
      <c r="I5" s="11"/>
      <c r="J5" s="12"/>
      <c r="K5" s="13"/>
      <c r="L5" s="11"/>
      <c r="M5" s="9"/>
      <c r="N5" s="10"/>
      <c r="O5" s="11"/>
      <c r="P5" s="12"/>
      <c r="Q5" s="13"/>
      <c r="R5" s="14"/>
      <c r="S5" s="15"/>
      <c r="T5" s="14"/>
    </row>
    <row r="6" spans="1:20" ht="15.75" x14ac:dyDescent="0.25">
      <c r="A6" s="16">
        <v>921</v>
      </c>
      <c r="B6" s="17" t="s">
        <v>17</v>
      </c>
      <c r="C6" s="8"/>
      <c r="D6" s="9"/>
      <c r="E6" s="10"/>
      <c r="F6" s="11"/>
      <c r="G6" s="9"/>
      <c r="H6" s="10"/>
      <c r="I6" s="11"/>
      <c r="J6" s="12"/>
      <c r="K6" s="13"/>
      <c r="L6" s="11"/>
      <c r="M6" s="9"/>
      <c r="N6" s="10"/>
      <c r="O6" s="11"/>
      <c r="P6" s="12"/>
      <c r="Q6" s="13"/>
      <c r="R6" s="14"/>
      <c r="S6" s="15"/>
      <c r="T6" s="14"/>
    </row>
    <row r="7" spans="1:20" ht="15.75" x14ac:dyDescent="0.25">
      <c r="A7" s="16">
        <v>925</v>
      </c>
      <c r="B7" s="17" t="s">
        <v>18</v>
      </c>
      <c r="C7" s="18"/>
      <c r="D7" s="9"/>
      <c r="E7" s="10"/>
      <c r="F7" s="11"/>
      <c r="G7" s="9"/>
      <c r="H7" s="10"/>
      <c r="I7" s="19"/>
      <c r="J7" s="20"/>
      <c r="K7" s="21"/>
      <c r="L7" s="11"/>
      <c r="M7" s="22"/>
      <c r="N7" s="23"/>
      <c r="O7" s="19"/>
      <c r="P7" s="20"/>
      <c r="Q7" s="21"/>
      <c r="R7" s="14"/>
      <c r="S7" s="15"/>
      <c r="T7" s="14"/>
    </row>
    <row r="8" spans="1:20" ht="15.75" x14ac:dyDescent="0.25">
      <c r="A8" s="24">
        <v>930</v>
      </c>
      <c r="B8" s="25" t="s">
        <v>19</v>
      </c>
      <c r="C8" s="18">
        <v>2</v>
      </c>
      <c r="D8" s="9">
        <v>46045</v>
      </c>
      <c r="E8" s="10">
        <v>46046</v>
      </c>
      <c r="F8" s="11"/>
      <c r="G8" s="9"/>
      <c r="H8" s="10"/>
      <c r="I8" s="19"/>
      <c r="J8" s="20"/>
      <c r="K8" s="21"/>
      <c r="L8" s="26"/>
      <c r="M8" s="9"/>
      <c r="N8" s="23"/>
      <c r="O8" s="19"/>
      <c r="P8" s="20"/>
      <c r="Q8" s="21"/>
      <c r="R8" s="14"/>
      <c r="S8" s="15"/>
      <c r="T8" s="14"/>
    </row>
    <row r="9" spans="1:20" ht="15.75" x14ac:dyDescent="0.25">
      <c r="A9" s="16">
        <v>934</v>
      </c>
      <c r="B9" s="17" t="s">
        <v>20</v>
      </c>
      <c r="C9" s="18"/>
      <c r="D9" s="9"/>
      <c r="E9" s="10"/>
      <c r="F9" s="27"/>
      <c r="G9" s="9"/>
      <c r="H9" s="10"/>
      <c r="I9" s="19"/>
      <c r="J9" s="20"/>
      <c r="K9" s="21"/>
      <c r="L9" s="27"/>
      <c r="M9" s="9"/>
      <c r="N9" s="10"/>
      <c r="O9" s="19"/>
      <c r="P9" s="20"/>
      <c r="Q9" s="21"/>
      <c r="R9" s="14"/>
      <c r="S9" s="15"/>
      <c r="T9" s="14"/>
    </row>
    <row r="10" spans="1:20" ht="15.75" x14ac:dyDescent="0.25">
      <c r="A10" s="24">
        <v>937</v>
      </c>
      <c r="B10" s="25" t="s">
        <v>21</v>
      </c>
      <c r="C10" s="8"/>
      <c r="D10" s="28"/>
      <c r="E10" s="29"/>
      <c r="F10" s="11"/>
      <c r="G10" s="28"/>
      <c r="H10" s="29"/>
      <c r="I10" s="19"/>
      <c r="J10" s="20"/>
      <c r="K10" s="21"/>
      <c r="L10" s="27"/>
      <c r="M10" s="9"/>
      <c r="N10" s="10"/>
      <c r="O10" s="19"/>
      <c r="P10" s="20"/>
      <c r="Q10" s="21"/>
      <c r="R10" s="14"/>
      <c r="S10" s="15"/>
      <c r="T10" s="14"/>
    </row>
    <row r="11" spans="1:20" ht="15.75" x14ac:dyDescent="0.25">
      <c r="A11" s="24">
        <v>940</v>
      </c>
      <c r="B11" s="25" t="s">
        <v>22</v>
      </c>
      <c r="C11" s="18">
        <v>3</v>
      </c>
      <c r="D11" s="9">
        <v>46070</v>
      </c>
      <c r="E11" s="10">
        <v>46072</v>
      </c>
      <c r="F11" s="11"/>
      <c r="G11" s="9"/>
      <c r="H11" s="10"/>
      <c r="I11" s="19"/>
      <c r="J11" s="20"/>
      <c r="K11" s="21"/>
      <c r="L11" s="11"/>
      <c r="M11" s="30"/>
      <c r="N11" s="31"/>
      <c r="O11" s="18">
        <v>3</v>
      </c>
      <c r="P11" s="9">
        <v>46073</v>
      </c>
      <c r="Q11" s="10">
        <v>46075</v>
      </c>
      <c r="R11" s="14"/>
      <c r="S11" s="15"/>
      <c r="T11" s="14"/>
    </row>
    <row r="12" spans="1:20" ht="15.75" x14ac:dyDescent="0.25">
      <c r="A12" s="16">
        <v>941</v>
      </c>
      <c r="B12" s="7" t="s">
        <v>23</v>
      </c>
      <c r="C12" s="18"/>
      <c r="D12" s="9"/>
      <c r="E12" s="10"/>
      <c r="F12" s="11"/>
      <c r="G12" s="9"/>
      <c r="H12" s="10"/>
      <c r="I12" s="19"/>
      <c r="J12" s="20"/>
      <c r="K12" s="21"/>
      <c r="L12" s="11"/>
      <c r="M12" s="30"/>
      <c r="N12" s="31"/>
      <c r="O12" s="19"/>
      <c r="P12" s="20"/>
      <c r="Q12" s="21"/>
      <c r="R12" s="14"/>
      <c r="S12" s="15"/>
      <c r="T12" s="14"/>
    </row>
    <row r="13" spans="1:20" ht="15.75" x14ac:dyDescent="0.25">
      <c r="A13" s="16">
        <v>948</v>
      </c>
      <c r="B13" s="17" t="s">
        <v>24</v>
      </c>
      <c r="C13" s="8"/>
      <c r="D13" s="28"/>
      <c r="E13" s="29"/>
      <c r="F13" s="11"/>
      <c r="G13" s="28"/>
      <c r="H13" s="29"/>
      <c r="I13" s="19"/>
      <c r="J13" s="20"/>
      <c r="K13" s="21"/>
      <c r="L13" s="32"/>
      <c r="M13" s="9"/>
      <c r="N13" s="10"/>
      <c r="O13" s="19"/>
      <c r="P13" s="20"/>
      <c r="Q13" s="21"/>
      <c r="R13" s="14"/>
      <c r="S13" s="15"/>
      <c r="T13" s="14"/>
    </row>
    <row r="14" spans="1:20" ht="15.75" x14ac:dyDescent="0.25">
      <c r="A14" s="24">
        <v>950</v>
      </c>
      <c r="B14" s="25" t="s">
        <v>25</v>
      </c>
      <c r="C14" s="18"/>
      <c r="D14" s="9"/>
      <c r="E14" s="10"/>
      <c r="F14" s="11"/>
      <c r="G14" s="9"/>
      <c r="H14" s="10"/>
      <c r="I14" s="19"/>
      <c r="J14" s="20"/>
      <c r="K14" s="21"/>
      <c r="L14" s="11"/>
      <c r="M14" s="30"/>
      <c r="N14" s="31"/>
      <c r="O14" s="19"/>
      <c r="P14" s="20"/>
      <c r="Q14" s="21"/>
      <c r="R14" s="14"/>
      <c r="S14" s="15"/>
      <c r="T14" s="14"/>
    </row>
    <row r="15" spans="1:20" ht="15.75" x14ac:dyDescent="0.25">
      <c r="A15" s="24">
        <v>951</v>
      </c>
      <c r="B15" s="25" t="s">
        <v>26</v>
      </c>
      <c r="C15" s="8"/>
      <c r="D15" s="28"/>
      <c r="E15" s="29"/>
      <c r="F15" s="11"/>
      <c r="G15" s="28"/>
      <c r="H15" s="29"/>
      <c r="I15" s="19"/>
      <c r="J15" s="20"/>
      <c r="K15" s="21"/>
      <c r="L15" s="11"/>
      <c r="M15" s="22"/>
      <c r="N15" s="23"/>
      <c r="O15" s="19"/>
      <c r="P15" s="20"/>
      <c r="Q15" s="21"/>
      <c r="R15" s="14"/>
      <c r="S15" s="15"/>
      <c r="T15" s="14"/>
    </row>
    <row r="16" spans="1:20" ht="15.75" x14ac:dyDescent="0.25">
      <c r="A16" s="16">
        <v>952</v>
      </c>
      <c r="B16" s="17" t="s">
        <v>27</v>
      </c>
      <c r="C16" s="33">
        <v>3</v>
      </c>
      <c r="D16" s="30">
        <v>46048</v>
      </c>
      <c r="E16" s="31">
        <v>46050</v>
      </c>
      <c r="F16" s="11"/>
      <c r="G16" s="9"/>
      <c r="H16" s="10"/>
      <c r="I16" s="19"/>
      <c r="J16" s="20"/>
      <c r="K16" s="21"/>
      <c r="L16" s="11"/>
      <c r="M16" s="22"/>
      <c r="N16" s="23"/>
      <c r="O16" s="19"/>
      <c r="P16" s="20"/>
      <c r="Q16" s="21"/>
      <c r="R16" s="14"/>
      <c r="S16" s="15"/>
      <c r="T16" s="14"/>
    </row>
    <row r="17" spans="1:20" ht="15.75" x14ac:dyDescent="0.25">
      <c r="A17" s="24">
        <v>955</v>
      </c>
      <c r="B17" s="25" t="s">
        <v>28</v>
      </c>
      <c r="C17" s="18">
        <v>1</v>
      </c>
      <c r="D17" s="9">
        <v>46073</v>
      </c>
      <c r="E17" s="10">
        <v>46073</v>
      </c>
      <c r="F17" s="11"/>
      <c r="G17" s="9"/>
      <c r="H17" s="10"/>
      <c r="I17" s="19"/>
      <c r="J17" s="20"/>
      <c r="K17" s="21"/>
      <c r="L17" s="11"/>
      <c r="M17" s="22"/>
      <c r="N17" s="23"/>
      <c r="O17" s="19"/>
      <c r="P17" s="20"/>
      <c r="Q17" s="21"/>
      <c r="R17" s="14"/>
      <c r="S17" s="15"/>
      <c r="T17" s="14"/>
    </row>
    <row r="18" spans="1:20" ht="15.75" x14ac:dyDescent="0.25">
      <c r="A18" s="24">
        <v>958</v>
      </c>
      <c r="B18" s="25" t="s">
        <v>29</v>
      </c>
      <c r="C18" s="18"/>
      <c r="D18" s="9"/>
      <c r="E18" s="10"/>
      <c r="F18" s="11"/>
      <c r="G18" s="9"/>
      <c r="H18" s="10"/>
      <c r="I18" s="19"/>
      <c r="J18" s="20"/>
      <c r="K18" s="21"/>
      <c r="L18" s="11"/>
      <c r="M18" s="22"/>
      <c r="N18" s="23"/>
      <c r="O18" s="19"/>
      <c r="P18" s="20"/>
      <c r="Q18" s="21"/>
      <c r="R18" s="14"/>
      <c r="S18" s="15"/>
      <c r="T18" s="14"/>
    </row>
    <row r="19" spans="1:20" ht="15.75" x14ac:dyDescent="0.25">
      <c r="A19" s="24">
        <v>959</v>
      </c>
      <c r="B19" s="25" t="s">
        <v>30</v>
      </c>
      <c r="C19" s="8"/>
      <c r="D19" s="28"/>
      <c r="E19" s="29"/>
      <c r="F19" s="34"/>
      <c r="G19" s="28"/>
      <c r="H19" s="29"/>
      <c r="I19" s="34"/>
      <c r="J19" s="28"/>
      <c r="K19" s="29"/>
      <c r="L19" s="11">
        <v>1</v>
      </c>
      <c r="M19" s="9">
        <v>46043</v>
      </c>
      <c r="N19" s="10">
        <v>46043</v>
      </c>
      <c r="O19" s="19"/>
      <c r="P19" s="20"/>
      <c r="Q19" s="21"/>
      <c r="R19" s="14"/>
      <c r="S19" s="15"/>
      <c r="T19" s="14"/>
    </row>
    <row r="20" spans="1:20" ht="15.75" x14ac:dyDescent="0.25">
      <c r="A20" s="24">
        <v>962</v>
      </c>
      <c r="B20" s="25" t="s">
        <v>31</v>
      </c>
      <c r="C20" s="8"/>
      <c r="D20" s="28"/>
      <c r="E20" s="29"/>
      <c r="F20" s="34"/>
      <c r="G20" s="28"/>
      <c r="H20" s="29"/>
      <c r="I20" s="34"/>
      <c r="J20" s="28"/>
      <c r="K20" s="29"/>
      <c r="L20" s="11">
        <v>1</v>
      </c>
      <c r="M20" s="9">
        <v>46054</v>
      </c>
      <c r="N20" s="10">
        <v>46054</v>
      </c>
      <c r="O20" s="19"/>
      <c r="P20" s="20"/>
      <c r="Q20" s="21"/>
      <c r="R20" s="14"/>
      <c r="S20" s="15"/>
      <c r="T20" s="14"/>
    </row>
    <row r="21" spans="1:20" ht="15.75" x14ac:dyDescent="0.25">
      <c r="A21" s="24">
        <v>964</v>
      </c>
      <c r="B21" s="25" t="s">
        <v>32</v>
      </c>
      <c r="C21" s="8"/>
      <c r="D21" s="28"/>
      <c r="F21" s="34"/>
      <c r="G21" s="28"/>
      <c r="H21" s="29"/>
      <c r="I21" s="34"/>
      <c r="J21" s="28"/>
      <c r="K21" s="29"/>
      <c r="L21" s="11"/>
      <c r="M21" s="9"/>
      <c r="N21" s="10"/>
      <c r="O21" s="19"/>
      <c r="P21" s="20"/>
      <c r="Q21" s="21"/>
      <c r="R21" s="14"/>
      <c r="S21" s="15"/>
      <c r="T21" s="14"/>
    </row>
    <row r="22" spans="1:20" ht="15.75" x14ac:dyDescent="0.25">
      <c r="A22" s="24">
        <v>969</v>
      </c>
      <c r="B22" s="35" t="s">
        <v>33</v>
      </c>
      <c r="C22" s="8"/>
      <c r="D22" s="28"/>
      <c r="E22" s="29"/>
      <c r="F22" s="34"/>
      <c r="G22" s="28"/>
      <c r="H22" s="29"/>
      <c r="I22" s="34"/>
      <c r="J22" s="28"/>
      <c r="K22" s="29"/>
      <c r="L22" s="11"/>
      <c r="M22" s="12"/>
      <c r="N22" s="13"/>
      <c r="O22" s="19"/>
      <c r="P22" s="20"/>
      <c r="Q22" s="21"/>
      <c r="R22" s="14"/>
      <c r="S22" s="15"/>
      <c r="T22" s="14"/>
    </row>
    <row r="23" spans="1:20" ht="15.75" x14ac:dyDescent="0.25">
      <c r="A23" s="24">
        <v>973</v>
      </c>
      <c r="B23" s="25" t="s">
        <v>34</v>
      </c>
      <c r="C23" s="8">
        <v>11</v>
      </c>
      <c r="D23" s="28">
        <v>46049</v>
      </c>
      <c r="E23" s="29">
        <v>46061</v>
      </c>
      <c r="F23" s="11"/>
      <c r="G23" s="28"/>
      <c r="H23" s="29"/>
      <c r="I23" s="34"/>
      <c r="J23" s="28"/>
      <c r="K23" s="29"/>
      <c r="L23" s="11"/>
      <c r="M23" s="9"/>
      <c r="N23" s="10"/>
      <c r="O23" s="19"/>
      <c r="P23" s="20"/>
      <c r="Q23" s="21"/>
      <c r="R23" s="14"/>
      <c r="S23" s="15"/>
      <c r="T23" s="14"/>
    </row>
    <row r="24" spans="1:20" ht="15.75" x14ac:dyDescent="0.25">
      <c r="A24" s="24">
        <v>981</v>
      </c>
      <c r="B24" s="25" t="s">
        <v>35</v>
      </c>
      <c r="C24" s="8"/>
      <c r="D24" s="28"/>
      <c r="E24" s="29"/>
      <c r="F24" s="11"/>
      <c r="G24" s="28"/>
      <c r="H24" s="29"/>
      <c r="I24" s="34"/>
      <c r="J24" s="28"/>
      <c r="K24" s="29"/>
      <c r="L24" s="11"/>
      <c r="M24" s="36"/>
      <c r="N24" s="37"/>
      <c r="O24" s="19"/>
      <c r="P24" s="20"/>
      <c r="Q24" s="21"/>
      <c r="R24" s="14"/>
      <c r="S24" s="15"/>
      <c r="T24" s="14"/>
    </row>
    <row r="25" spans="1:20" ht="15.75" x14ac:dyDescent="0.25">
      <c r="A25" s="24">
        <v>982</v>
      </c>
      <c r="B25" s="25" t="s">
        <v>36</v>
      </c>
      <c r="C25" s="8"/>
      <c r="D25" s="9"/>
      <c r="E25" s="10"/>
      <c r="F25" s="11"/>
      <c r="G25" s="9"/>
      <c r="H25" s="10"/>
      <c r="I25" s="34"/>
      <c r="J25" s="28"/>
      <c r="K25" s="29"/>
      <c r="L25" s="11"/>
      <c r="M25" s="22"/>
      <c r="N25" s="23"/>
      <c r="O25" s="19"/>
      <c r="P25" s="20"/>
      <c r="Q25" s="21"/>
      <c r="R25" s="14"/>
      <c r="S25" s="15"/>
      <c r="T25" s="14"/>
    </row>
    <row r="26" spans="1:20" ht="15.75" x14ac:dyDescent="0.25">
      <c r="A26" s="24">
        <v>983</v>
      </c>
      <c r="B26" s="25" t="s">
        <v>37</v>
      </c>
      <c r="C26" s="8"/>
      <c r="D26" s="28"/>
      <c r="E26" s="29"/>
      <c r="F26" s="11"/>
      <c r="G26" s="28"/>
      <c r="H26" s="29"/>
      <c r="I26" s="19"/>
      <c r="J26" s="20"/>
      <c r="K26" s="21"/>
      <c r="L26" s="11">
        <v>5</v>
      </c>
      <c r="M26" s="9">
        <v>46064</v>
      </c>
      <c r="N26" s="10">
        <v>46068</v>
      </c>
      <c r="O26" s="19"/>
      <c r="P26" s="20"/>
      <c r="Q26" s="21"/>
      <c r="R26" s="14"/>
      <c r="S26" s="15"/>
      <c r="T26" s="14"/>
    </row>
    <row r="27" spans="1:20" ht="15.75" x14ac:dyDescent="0.25">
      <c r="A27" s="16">
        <v>985</v>
      </c>
      <c r="B27" s="17" t="s">
        <v>38</v>
      </c>
      <c r="C27" s="8">
        <v>3</v>
      </c>
      <c r="D27" s="28">
        <v>46054</v>
      </c>
      <c r="E27" s="29">
        <v>46056</v>
      </c>
      <c r="F27" s="38"/>
      <c r="G27" s="39"/>
      <c r="H27" s="40"/>
      <c r="I27" s="19"/>
      <c r="J27" s="20"/>
      <c r="K27" s="21"/>
      <c r="L27" s="11"/>
      <c r="M27" s="9"/>
      <c r="N27" s="10"/>
      <c r="O27" s="8">
        <v>3</v>
      </c>
      <c r="P27" s="28">
        <v>46051</v>
      </c>
      <c r="Q27" s="29">
        <v>46053</v>
      </c>
      <c r="R27" s="14"/>
      <c r="S27" s="15"/>
      <c r="T27" s="14"/>
    </row>
    <row r="28" spans="1:20" ht="15.75" x14ac:dyDescent="0.25">
      <c r="A28" s="24">
        <v>986</v>
      </c>
      <c r="B28" s="25" t="s">
        <v>39</v>
      </c>
      <c r="C28" s="32">
        <v>1</v>
      </c>
      <c r="D28" s="30">
        <v>46066</v>
      </c>
      <c r="E28" s="31">
        <v>46066</v>
      </c>
      <c r="F28" s="11"/>
      <c r="G28" s="28"/>
      <c r="H28" s="29"/>
      <c r="I28" s="19"/>
      <c r="J28" s="20"/>
      <c r="K28" s="21"/>
      <c r="L28" s="11"/>
      <c r="M28" s="9"/>
      <c r="O28" s="19"/>
      <c r="P28" s="20"/>
      <c r="Q28" s="21"/>
      <c r="R28" s="14"/>
      <c r="S28" s="15"/>
      <c r="T28" s="14"/>
    </row>
    <row r="29" spans="1:20" ht="15.75" x14ac:dyDescent="0.25">
      <c r="A29" s="24">
        <v>1642</v>
      </c>
      <c r="B29" s="25" t="s">
        <v>40</v>
      </c>
      <c r="C29" s="18"/>
      <c r="D29" s="9"/>
      <c r="E29" s="10"/>
      <c r="F29" s="11"/>
      <c r="G29" s="9"/>
      <c r="H29" s="10"/>
      <c r="I29" s="11"/>
      <c r="J29" s="30"/>
      <c r="K29" s="31"/>
      <c r="L29" s="11"/>
      <c r="M29" s="30"/>
      <c r="N29" s="31"/>
      <c r="O29" s="19"/>
      <c r="P29" s="20"/>
      <c r="Q29" s="21"/>
      <c r="R29" s="14"/>
      <c r="S29" s="15"/>
      <c r="T29" s="14"/>
    </row>
    <row r="30" spans="1:20" ht="15.75" x14ac:dyDescent="0.25">
      <c r="A30" s="16">
        <v>1665</v>
      </c>
      <c r="B30" s="17" t="s">
        <v>41</v>
      </c>
      <c r="C30" s="18">
        <v>7</v>
      </c>
      <c r="D30" s="9">
        <v>46076</v>
      </c>
      <c r="E30" s="10">
        <v>46083</v>
      </c>
      <c r="F30" s="11"/>
      <c r="G30" s="9"/>
      <c r="H30" s="10"/>
      <c r="I30" s="19"/>
      <c r="J30" s="20"/>
      <c r="K30" s="21"/>
      <c r="L30" s="11"/>
      <c r="M30" s="12"/>
      <c r="N30" s="13"/>
      <c r="O30" s="19"/>
      <c r="P30" s="20"/>
      <c r="Q30" s="21"/>
      <c r="R30" s="14"/>
      <c r="S30" s="15"/>
      <c r="T30" s="14"/>
    </row>
    <row r="31" spans="1:20" ht="15.75" x14ac:dyDescent="0.25">
      <c r="A31" s="24">
        <v>2423</v>
      </c>
      <c r="B31" s="25" t="s">
        <v>42</v>
      </c>
      <c r="C31" s="18"/>
      <c r="D31" s="9"/>
      <c r="E31" s="10"/>
      <c r="F31" s="32"/>
      <c r="G31" s="9"/>
      <c r="H31" s="10"/>
      <c r="I31" s="19"/>
      <c r="J31" s="20"/>
      <c r="K31" s="21"/>
      <c r="L31" s="11"/>
      <c r="M31" s="22"/>
      <c r="N31" s="23"/>
      <c r="O31" s="19"/>
      <c r="P31" s="20"/>
      <c r="Q31" s="21"/>
      <c r="R31" s="14"/>
      <c r="S31" s="15"/>
      <c r="T31" s="14"/>
    </row>
    <row r="32" spans="1:20" ht="15.75" x14ac:dyDescent="0.25">
      <c r="A32" s="24">
        <v>2424</v>
      </c>
      <c r="B32" s="25" t="s">
        <v>43</v>
      </c>
      <c r="C32" s="18"/>
      <c r="D32" s="9"/>
      <c r="E32" s="10"/>
      <c r="F32" s="11"/>
      <c r="G32" s="9"/>
      <c r="H32" s="10"/>
      <c r="I32" s="19"/>
      <c r="J32" s="20"/>
      <c r="K32" s="21"/>
      <c r="L32" s="11"/>
      <c r="M32" s="9"/>
      <c r="N32" s="10"/>
      <c r="O32" s="19"/>
      <c r="P32" s="20"/>
      <c r="Q32" s="21"/>
      <c r="R32" s="14"/>
      <c r="S32" s="15"/>
      <c r="T32" s="14"/>
    </row>
    <row r="33" spans="1:20" ht="15.75" x14ac:dyDescent="0.25">
      <c r="A33" s="24">
        <v>2425</v>
      </c>
      <c r="B33" s="25" t="s">
        <v>44</v>
      </c>
      <c r="C33" s="18"/>
      <c r="D33" s="9"/>
      <c r="E33" s="10"/>
      <c r="F33" s="11"/>
      <c r="G33" s="9"/>
      <c r="H33" s="10"/>
      <c r="I33" s="19"/>
      <c r="J33" s="20"/>
      <c r="K33" s="21"/>
      <c r="L33" s="27"/>
      <c r="M33" s="9"/>
      <c r="N33" s="10"/>
      <c r="O33" s="19"/>
      <c r="P33" s="20"/>
      <c r="Q33" s="21"/>
      <c r="R33" s="14"/>
      <c r="S33" s="15"/>
      <c r="T33" s="14"/>
    </row>
    <row r="34" spans="1:20" ht="15.75" x14ac:dyDescent="0.25">
      <c r="A34" s="16">
        <v>2426</v>
      </c>
      <c r="B34" s="17" t="s">
        <v>45</v>
      </c>
      <c r="C34" s="18">
        <v>3</v>
      </c>
      <c r="D34" s="9">
        <v>46065</v>
      </c>
      <c r="E34" s="10">
        <v>46067</v>
      </c>
      <c r="F34" s="11"/>
      <c r="G34" s="9"/>
      <c r="H34" s="10"/>
      <c r="I34" s="19"/>
      <c r="J34" s="20"/>
      <c r="K34" s="21"/>
      <c r="L34" s="34">
        <v>1</v>
      </c>
      <c r="M34" s="9">
        <v>46058</v>
      </c>
      <c r="N34" s="10">
        <v>46058</v>
      </c>
      <c r="O34" s="19"/>
      <c r="P34" s="20"/>
      <c r="Q34" s="21"/>
      <c r="R34" s="14"/>
      <c r="S34" s="15"/>
      <c r="T34" s="14"/>
    </row>
    <row r="35" spans="1:20" ht="15.75" x14ac:dyDescent="0.25">
      <c r="A35" s="24">
        <v>2427</v>
      </c>
      <c r="B35" s="25" t="s">
        <v>46</v>
      </c>
      <c r="C35" s="18"/>
      <c r="D35" s="9"/>
      <c r="E35" s="10"/>
      <c r="F35" s="27"/>
      <c r="G35" s="9"/>
      <c r="H35" s="10"/>
      <c r="I35" s="19"/>
      <c r="J35" s="20"/>
      <c r="K35" s="21"/>
      <c r="L35" s="34"/>
      <c r="M35" s="9"/>
      <c r="N35" s="10"/>
      <c r="O35" s="19"/>
      <c r="P35" s="20"/>
      <c r="Q35" s="21"/>
      <c r="R35" s="14"/>
      <c r="S35" s="15"/>
      <c r="T35" s="14"/>
    </row>
    <row r="36" spans="1:20" ht="15.75" x14ac:dyDescent="0.25">
      <c r="A36" s="24">
        <v>2429</v>
      </c>
      <c r="B36" s="25" t="s">
        <v>47</v>
      </c>
      <c r="C36" s="18"/>
      <c r="D36" s="9"/>
      <c r="E36" s="10"/>
      <c r="F36" s="11"/>
      <c r="G36" s="9"/>
      <c r="H36" s="10"/>
      <c r="I36" s="19"/>
      <c r="J36" s="20"/>
      <c r="K36" s="21"/>
      <c r="L36" s="34"/>
      <c r="M36" s="9"/>
      <c r="N36" s="10"/>
      <c r="O36" s="19"/>
      <c r="P36" s="20"/>
      <c r="Q36" s="21"/>
      <c r="R36" s="14"/>
      <c r="S36" s="15"/>
      <c r="T36" s="14"/>
    </row>
    <row r="37" spans="1:20" ht="15.75" x14ac:dyDescent="0.25">
      <c r="A37" s="24"/>
      <c r="B37" s="25" t="s">
        <v>128</v>
      </c>
      <c r="C37" s="18"/>
      <c r="D37" s="9"/>
      <c r="E37" s="10"/>
      <c r="F37" s="11"/>
      <c r="G37" s="9"/>
      <c r="H37" s="10"/>
      <c r="I37" s="19"/>
      <c r="J37" s="20"/>
      <c r="K37" s="21"/>
      <c r="L37" s="34"/>
      <c r="M37" s="9"/>
      <c r="N37" s="10"/>
      <c r="O37" s="19"/>
      <c r="P37" s="20"/>
      <c r="Q37" s="21"/>
      <c r="R37" s="14"/>
      <c r="S37" s="15"/>
      <c r="T37" s="14"/>
    </row>
    <row r="38" spans="1:20" ht="15.75" x14ac:dyDescent="0.25">
      <c r="A38" s="24">
        <v>7790</v>
      </c>
      <c r="B38" s="25" t="s">
        <v>49</v>
      </c>
      <c r="C38" s="18"/>
      <c r="D38" s="9"/>
      <c r="E38" s="10"/>
      <c r="F38" s="11">
        <v>1</v>
      </c>
      <c r="G38" s="9">
        <v>46064</v>
      </c>
      <c r="H38" s="10">
        <v>46064</v>
      </c>
      <c r="I38" s="19"/>
      <c r="J38" s="20"/>
      <c r="K38" s="21"/>
      <c r="L38" s="34"/>
      <c r="M38" s="9"/>
      <c r="N38" s="10"/>
      <c r="O38" s="19"/>
      <c r="P38" s="20"/>
      <c r="Q38" s="21"/>
      <c r="R38" s="14"/>
      <c r="S38" s="15"/>
      <c r="T38" s="14"/>
    </row>
    <row r="39" spans="1:20" ht="15.75" x14ac:dyDescent="0.25">
      <c r="A39" s="247">
        <v>7791</v>
      </c>
      <c r="B39" s="249" t="s">
        <v>50</v>
      </c>
      <c r="C39" s="18"/>
      <c r="D39" s="9"/>
      <c r="E39" s="10"/>
      <c r="F39" s="11"/>
      <c r="G39" s="9"/>
      <c r="H39" s="10"/>
      <c r="I39" s="19"/>
      <c r="J39" s="20"/>
      <c r="K39" s="21"/>
      <c r="L39" s="34">
        <v>1</v>
      </c>
      <c r="M39" s="9">
        <v>46055</v>
      </c>
      <c r="N39" s="10">
        <v>46055</v>
      </c>
      <c r="O39" s="19"/>
      <c r="P39" s="20"/>
      <c r="Q39" s="21"/>
      <c r="R39" s="14"/>
      <c r="S39" s="15"/>
      <c r="T39" s="14"/>
    </row>
    <row r="40" spans="1:20" ht="15.75" x14ac:dyDescent="0.25">
      <c r="A40" s="248"/>
      <c r="B40" s="250"/>
      <c r="C40" s="18"/>
      <c r="D40" s="9"/>
      <c r="E40" s="10"/>
      <c r="F40" s="11"/>
      <c r="G40" s="9"/>
      <c r="H40" s="10"/>
      <c r="I40" s="19"/>
      <c r="J40" s="20"/>
      <c r="K40" s="21"/>
      <c r="L40" s="34">
        <v>1</v>
      </c>
      <c r="M40" s="9">
        <v>46067</v>
      </c>
      <c r="N40" s="10">
        <v>46067</v>
      </c>
      <c r="O40" s="19"/>
      <c r="P40" s="20"/>
      <c r="Q40" s="21"/>
      <c r="R40" s="14"/>
      <c r="S40" s="15"/>
      <c r="T40" s="14"/>
    </row>
    <row r="41" spans="1:20" ht="15.75" x14ac:dyDescent="0.25">
      <c r="A41" s="247">
        <v>7792</v>
      </c>
      <c r="B41" s="249" t="s">
        <v>51</v>
      </c>
      <c r="C41" s="258"/>
      <c r="D41" s="254"/>
      <c r="E41" s="256"/>
      <c r="F41" s="252">
        <v>2</v>
      </c>
      <c r="G41" s="254">
        <v>46050</v>
      </c>
      <c r="H41" s="256">
        <v>46051</v>
      </c>
      <c r="I41" s="19"/>
      <c r="J41" s="20"/>
      <c r="K41" s="21"/>
      <c r="L41" s="34">
        <v>1</v>
      </c>
      <c r="M41" s="9">
        <v>46049</v>
      </c>
      <c r="N41" s="10">
        <v>46049</v>
      </c>
      <c r="O41" s="19"/>
      <c r="P41" s="20"/>
      <c r="Q41" s="21"/>
      <c r="R41" s="14"/>
      <c r="S41" s="15"/>
      <c r="T41" s="14"/>
    </row>
    <row r="42" spans="1:20" ht="15.75" x14ac:dyDescent="0.25">
      <c r="A42" s="248"/>
      <c r="B42" s="250"/>
      <c r="C42" s="259"/>
      <c r="D42" s="255"/>
      <c r="E42" s="257"/>
      <c r="F42" s="253"/>
      <c r="G42" s="255"/>
      <c r="H42" s="257"/>
      <c r="I42" s="19"/>
      <c r="J42" s="20"/>
      <c r="K42" s="21"/>
      <c r="L42" s="34">
        <v>1</v>
      </c>
      <c r="M42" s="9">
        <v>46054</v>
      </c>
      <c r="N42" s="10">
        <v>46054</v>
      </c>
      <c r="O42" s="19"/>
      <c r="P42" s="20"/>
      <c r="Q42" s="21"/>
      <c r="R42" s="14"/>
      <c r="S42" s="15"/>
      <c r="T42" s="14"/>
    </row>
    <row r="43" spans="1:20" ht="15.75" x14ac:dyDescent="0.25">
      <c r="A43" s="16">
        <v>7788</v>
      </c>
      <c r="B43" s="17" t="s">
        <v>52</v>
      </c>
      <c r="C43" s="18"/>
      <c r="D43" s="9"/>
      <c r="E43" s="10"/>
      <c r="F43" s="11"/>
      <c r="G43" s="9"/>
      <c r="H43" s="10"/>
      <c r="I43" s="19"/>
      <c r="J43" s="20"/>
      <c r="K43" s="21"/>
      <c r="L43" s="34"/>
      <c r="M43" s="9"/>
      <c r="N43" s="10"/>
      <c r="O43" s="19"/>
      <c r="P43" s="20"/>
      <c r="Q43" s="21"/>
      <c r="R43" s="14"/>
      <c r="S43" s="15"/>
      <c r="T43" s="14"/>
    </row>
    <row r="44" spans="1:20" ht="15.75" x14ac:dyDescent="0.25">
      <c r="A44" s="24">
        <v>5709</v>
      </c>
      <c r="B44" s="25" t="s">
        <v>53</v>
      </c>
      <c r="C44" s="18">
        <v>1</v>
      </c>
      <c r="D44" s="9">
        <v>46069</v>
      </c>
      <c r="E44" s="10">
        <v>46069</v>
      </c>
      <c r="F44" s="11"/>
      <c r="G44" s="9"/>
      <c r="H44" s="10"/>
      <c r="I44" s="19"/>
      <c r="J44" s="20"/>
      <c r="K44" s="21"/>
      <c r="L44" s="34"/>
      <c r="M44" s="9"/>
      <c r="N44" s="10"/>
      <c r="O44" s="11">
        <v>2</v>
      </c>
      <c r="P44" s="9">
        <v>46066</v>
      </c>
      <c r="Q44" s="10">
        <v>46067</v>
      </c>
      <c r="R44" s="14"/>
      <c r="S44" s="15"/>
      <c r="T44" s="14"/>
    </row>
    <row r="45" spans="1:20" ht="15.75" x14ac:dyDescent="0.25">
      <c r="A45" s="16">
        <v>5710</v>
      </c>
      <c r="B45" s="17" t="s">
        <v>54</v>
      </c>
      <c r="C45" s="18">
        <v>2</v>
      </c>
      <c r="D45" s="9">
        <v>46055</v>
      </c>
      <c r="E45" s="10">
        <v>46056</v>
      </c>
      <c r="F45" s="38"/>
      <c r="G45" s="41"/>
      <c r="H45" s="42"/>
      <c r="I45" s="19"/>
      <c r="J45" s="20"/>
      <c r="K45" s="21"/>
      <c r="L45" s="34"/>
      <c r="M45" s="9"/>
      <c r="N45" s="10"/>
      <c r="O45" s="19"/>
      <c r="P45" s="20"/>
      <c r="Q45" s="21"/>
      <c r="R45" s="14"/>
      <c r="S45" s="15"/>
      <c r="T45" s="14"/>
    </row>
    <row r="46" spans="1:20" ht="15.75" x14ac:dyDescent="0.25">
      <c r="A46" s="16">
        <v>113</v>
      </c>
      <c r="B46" s="17" t="s">
        <v>55</v>
      </c>
      <c r="C46" s="43"/>
      <c r="D46" s="44"/>
      <c r="E46" s="44"/>
      <c r="F46" s="45"/>
      <c r="G46" s="9"/>
      <c r="H46" s="10"/>
      <c r="I46" s="19"/>
      <c r="J46" s="20"/>
      <c r="K46" s="21"/>
      <c r="L46" s="11"/>
      <c r="M46" s="22"/>
      <c r="N46" s="23"/>
      <c r="O46" s="19"/>
      <c r="P46" s="20"/>
      <c r="Q46" s="21"/>
      <c r="R46" s="14"/>
      <c r="S46" s="15"/>
      <c r="T46" s="14"/>
    </row>
    <row r="47" spans="1:20" ht="16.5" thickBot="1" x14ac:dyDescent="0.3">
      <c r="A47" s="46">
        <v>7787</v>
      </c>
      <c r="B47" s="47" t="s">
        <v>56</v>
      </c>
      <c r="C47" s="48">
        <v>10</v>
      </c>
      <c r="D47" s="49">
        <v>46057</v>
      </c>
      <c r="E47" s="50">
        <v>46067</v>
      </c>
      <c r="F47" s="51"/>
      <c r="G47" s="49"/>
      <c r="H47" s="50"/>
      <c r="I47" s="51"/>
      <c r="J47" s="52"/>
      <c r="K47" s="53"/>
      <c r="L47" s="51"/>
      <c r="M47" s="52"/>
      <c r="N47" s="53"/>
      <c r="O47" s="54"/>
      <c r="P47" s="55"/>
      <c r="Q47" s="56"/>
      <c r="R47" s="57"/>
      <c r="S47" s="58"/>
      <c r="T47" s="57"/>
    </row>
    <row r="48" spans="1:20" ht="15.75" x14ac:dyDescent="0.25">
      <c r="A48" s="1">
        <v>42</v>
      </c>
      <c r="B48" s="59"/>
      <c r="C48" s="60">
        <f>SUM(C5:C47)</f>
        <v>52</v>
      </c>
      <c r="D48" s="60"/>
      <c r="E48" s="60"/>
      <c r="F48" s="60">
        <f>SUM(F5:F47)</f>
        <v>3</v>
      </c>
      <c r="G48" s="60"/>
      <c r="H48" s="60"/>
      <c r="I48" s="61">
        <f>SUM(I4:I47)</f>
        <v>0</v>
      </c>
      <c r="J48" s="60"/>
      <c r="K48" s="60"/>
      <c r="L48" s="60">
        <f>SUM(L5:L46)</f>
        <v>12</v>
      </c>
      <c r="M48" s="60"/>
      <c r="N48" s="60"/>
      <c r="O48" s="60">
        <v>0</v>
      </c>
      <c r="P48" s="60"/>
      <c r="Q48" s="60"/>
      <c r="R48" s="62"/>
      <c r="S48" s="63">
        <f>SUM(S5:S46)</f>
        <v>0</v>
      </c>
      <c r="T48" s="63">
        <f>SUM(T5:T46)</f>
        <v>0</v>
      </c>
    </row>
    <row r="49" spans="1:20" ht="15.75" x14ac:dyDescent="0.25">
      <c r="A49" s="60"/>
      <c r="B49" s="64" t="s">
        <v>57</v>
      </c>
      <c r="C49" s="65"/>
      <c r="D49" s="1"/>
      <c r="E49" s="1"/>
      <c r="F49" s="65"/>
      <c r="G49" s="1"/>
      <c r="H49" s="1"/>
      <c r="I49" s="65"/>
      <c r="J49" s="1"/>
      <c r="K49" s="1"/>
      <c r="L49" s="65"/>
      <c r="M49" s="1"/>
      <c r="N49" s="59"/>
      <c r="O49" s="65"/>
      <c r="P49" s="1"/>
      <c r="Q49" s="1"/>
      <c r="R49" s="1"/>
      <c r="S49" s="66"/>
      <c r="T49" s="66"/>
    </row>
    <row r="50" spans="1:20" ht="15.75" x14ac:dyDescent="0.25">
      <c r="A50" s="60"/>
      <c r="B50" s="67" t="s">
        <v>58</v>
      </c>
      <c r="C50" s="65"/>
      <c r="D50" s="1"/>
      <c r="E50" s="67"/>
      <c r="F50" s="65"/>
      <c r="G50" s="1"/>
      <c r="H50" s="1"/>
      <c r="I50" s="65"/>
      <c r="J50" s="1"/>
      <c r="K50" s="1"/>
      <c r="L50" s="65"/>
      <c r="M50" s="234" t="s">
        <v>59</v>
      </c>
      <c r="N50" s="234"/>
      <c r="O50" s="234"/>
      <c r="P50" s="234"/>
      <c r="Q50" s="234"/>
      <c r="R50" s="234"/>
      <c r="S50" s="1"/>
      <c r="T50" s="1"/>
    </row>
  </sheetData>
  <mergeCells count="23">
    <mergeCell ref="S3:S4"/>
    <mergeCell ref="T3:T4"/>
    <mergeCell ref="A1:B1"/>
    <mergeCell ref="A2:B2"/>
    <mergeCell ref="A3:A4"/>
    <mergeCell ref="B3:B4"/>
    <mergeCell ref="C3:E3"/>
    <mergeCell ref="F3:H3"/>
    <mergeCell ref="M50:R50"/>
    <mergeCell ref="I3:K3"/>
    <mergeCell ref="L3:N3"/>
    <mergeCell ref="O3:Q3"/>
    <mergeCell ref="R3:R4"/>
    <mergeCell ref="A39:A40"/>
    <mergeCell ref="B39:B40"/>
    <mergeCell ref="F41:F42"/>
    <mergeCell ref="G41:G42"/>
    <mergeCell ref="H41:H42"/>
    <mergeCell ref="A41:A42"/>
    <mergeCell ref="B41:B42"/>
    <mergeCell ref="C41:C42"/>
    <mergeCell ref="D41:D42"/>
    <mergeCell ref="E41:E42"/>
  </mergeCells>
  <pageMargins left="0.7" right="0.7" top="0.75" bottom="0.75" header="0.3" footer="0.3"/>
  <pageSetup paperSize="9" scale="54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2B5A-BADE-4C9A-A2B2-D2BDF1D637AD}">
  <sheetPr>
    <pageSetUpPr fitToPage="1"/>
  </sheetPr>
  <dimension ref="A1:T54"/>
  <sheetViews>
    <sheetView workbookViewId="0">
      <selection activeCell="G20" sqref="A1:XFD1048576"/>
    </sheetView>
  </sheetViews>
  <sheetFormatPr baseColWidth="10" defaultRowHeight="15" x14ac:dyDescent="0.25"/>
  <cols>
    <col min="2" max="2" width="40.5703125" customWidth="1"/>
    <col min="3" max="8" width="12.7109375" bestFit="1" customWidth="1"/>
    <col min="10" max="11" width="13" bestFit="1" customWidth="1"/>
    <col min="13" max="13" width="12.7109375" customWidth="1"/>
    <col min="14" max="14" width="13" customWidth="1"/>
  </cols>
  <sheetData>
    <row r="1" spans="1:20" ht="15.75" x14ac:dyDescent="0.25">
      <c r="A1" s="242" t="s">
        <v>0</v>
      </c>
      <c r="B1" s="24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6.5" thickBot="1" x14ac:dyDescent="0.3">
      <c r="A2" s="243" t="s">
        <v>137</v>
      </c>
      <c r="B2" s="24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245" t="s">
        <v>2</v>
      </c>
      <c r="B3" s="245" t="s">
        <v>3</v>
      </c>
      <c r="C3" s="236" t="s">
        <v>4</v>
      </c>
      <c r="D3" s="236"/>
      <c r="E3" s="236"/>
      <c r="F3" s="235" t="s">
        <v>5</v>
      </c>
      <c r="G3" s="236"/>
      <c r="H3" s="237"/>
      <c r="I3" s="235" t="s">
        <v>6</v>
      </c>
      <c r="J3" s="236"/>
      <c r="K3" s="237"/>
      <c r="L3" s="235" t="s">
        <v>7</v>
      </c>
      <c r="M3" s="236"/>
      <c r="N3" s="237"/>
      <c r="O3" s="235" t="s">
        <v>8</v>
      </c>
      <c r="P3" s="236"/>
      <c r="Q3" s="237"/>
      <c r="R3" s="238" t="s">
        <v>9</v>
      </c>
      <c r="S3" s="240" t="s">
        <v>10</v>
      </c>
      <c r="T3" s="238" t="s">
        <v>11</v>
      </c>
    </row>
    <row r="4" spans="1:20" ht="15.75" x14ac:dyDescent="0.25">
      <c r="A4" s="246"/>
      <c r="B4" s="246"/>
      <c r="C4" s="2" t="s">
        <v>12</v>
      </c>
      <c r="D4" s="3" t="s">
        <v>13</v>
      </c>
      <c r="E4" s="222" t="s">
        <v>14</v>
      </c>
      <c r="F4" s="5" t="s">
        <v>12</v>
      </c>
      <c r="G4" s="3" t="s">
        <v>13</v>
      </c>
      <c r="H4" s="4" t="s">
        <v>14</v>
      </c>
      <c r="I4" s="5" t="s">
        <v>12</v>
      </c>
      <c r="J4" s="3" t="s">
        <v>13</v>
      </c>
      <c r="K4" s="4" t="s">
        <v>14</v>
      </c>
      <c r="L4" s="5" t="s">
        <v>12</v>
      </c>
      <c r="M4" s="3" t="s">
        <v>13</v>
      </c>
      <c r="N4" s="4" t="s">
        <v>14</v>
      </c>
      <c r="O4" s="5" t="s">
        <v>12</v>
      </c>
      <c r="P4" s="3" t="s">
        <v>13</v>
      </c>
      <c r="Q4" s="4" t="s">
        <v>15</v>
      </c>
      <c r="R4" s="239"/>
      <c r="S4" s="241"/>
      <c r="T4" s="239"/>
    </row>
    <row r="5" spans="1:20" ht="15.75" x14ac:dyDescent="0.25">
      <c r="A5" s="6">
        <v>920</v>
      </c>
      <c r="B5" s="7" t="s">
        <v>16</v>
      </c>
      <c r="C5" s="8"/>
      <c r="D5" s="9"/>
      <c r="E5" s="209"/>
      <c r="F5" s="11"/>
      <c r="G5" s="9"/>
      <c r="H5" s="10"/>
      <c r="I5" s="11"/>
      <c r="J5" s="12"/>
      <c r="K5" s="13"/>
      <c r="L5" s="11"/>
      <c r="M5" s="9"/>
      <c r="N5" s="10"/>
      <c r="O5" s="11"/>
      <c r="P5" s="12"/>
      <c r="Q5" s="13"/>
      <c r="R5" s="14"/>
      <c r="S5" s="15"/>
      <c r="T5" s="14"/>
    </row>
    <row r="6" spans="1:20" ht="15.75" x14ac:dyDescent="0.25">
      <c r="A6" s="16">
        <v>921</v>
      </c>
      <c r="B6" s="17" t="s">
        <v>17</v>
      </c>
      <c r="C6" s="8"/>
      <c r="D6" s="9"/>
      <c r="E6" s="209"/>
      <c r="F6" s="11"/>
      <c r="G6" s="9"/>
      <c r="H6" s="10"/>
      <c r="I6" s="11"/>
      <c r="J6" s="12"/>
      <c r="K6" s="13"/>
      <c r="L6" s="11"/>
      <c r="M6" s="9"/>
      <c r="N6" s="10"/>
      <c r="O6" s="11"/>
      <c r="P6" s="12"/>
      <c r="Q6" s="13"/>
      <c r="R6" s="14"/>
      <c r="S6" s="15"/>
      <c r="T6" s="14"/>
    </row>
    <row r="7" spans="1:20" ht="15.75" x14ac:dyDescent="0.25">
      <c r="A7" s="16">
        <v>925</v>
      </c>
      <c r="B7" s="17" t="s">
        <v>18</v>
      </c>
      <c r="C7" s="18">
        <v>10</v>
      </c>
      <c r="D7" s="9">
        <v>46090</v>
      </c>
      <c r="E7" s="209">
        <v>46100</v>
      </c>
      <c r="F7" s="11"/>
      <c r="G7" s="9"/>
      <c r="H7" s="10"/>
      <c r="I7" s="19"/>
      <c r="J7" s="20"/>
      <c r="K7" s="21"/>
      <c r="L7" s="11"/>
      <c r="M7" s="9"/>
      <c r="N7" s="10"/>
      <c r="O7" s="19"/>
      <c r="P7" s="20"/>
      <c r="Q7" s="21"/>
      <c r="R7" s="14"/>
      <c r="S7" s="15"/>
      <c r="T7" s="14"/>
    </row>
    <row r="8" spans="1:20" ht="15.75" x14ac:dyDescent="0.25">
      <c r="A8" s="24">
        <v>930</v>
      </c>
      <c r="B8" s="25" t="s">
        <v>19</v>
      </c>
      <c r="C8" s="18">
        <v>6</v>
      </c>
      <c r="D8" s="9">
        <v>46083</v>
      </c>
      <c r="E8" s="209">
        <v>46088</v>
      </c>
      <c r="F8" s="11"/>
      <c r="G8" s="9"/>
      <c r="H8" s="10"/>
      <c r="I8" s="19"/>
      <c r="J8" s="20"/>
      <c r="K8" s="21"/>
      <c r="L8" s="11"/>
      <c r="M8" s="9"/>
      <c r="N8" s="10"/>
      <c r="O8" s="19"/>
      <c r="P8" s="20"/>
      <c r="Q8" s="21"/>
      <c r="R8" s="14"/>
      <c r="S8" s="15"/>
      <c r="T8" s="14"/>
    </row>
    <row r="9" spans="1:20" ht="15.75" x14ac:dyDescent="0.25">
      <c r="A9" s="16">
        <v>934</v>
      </c>
      <c r="B9" s="17" t="s">
        <v>20</v>
      </c>
      <c r="C9" s="18">
        <v>6</v>
      </c>
      <c r="D9" s="9">
        <v>46090</v>
      </c>
      <c r="E9" s="209">
        <v>46096</v>
      </c>
      <c r="F9" s="27"/>
      <c r="G9" s="9"/>
      <c r="H9" s="10"/>
      <c r="I9" s="19"/>
      <c r="J9" s="20"/>
      <c r="K9" s="21"/>
      <c r="L9" s="27"/>
      <c r="M9" s="9"/>
      <c r="N9" s="10"/>
      <c r="O9" s="19"/>
      <c r="P9" s="20"/>
      <c r="Q9" s="21"/>
      <c r="R9" s="14"/>
      <c r="S9" s="15"/>
      <c r="T9" s="14"/>
    </row>
    <row r="10" spans="1:20" ht="15.75" x14ac:dyDescent="0.25">
      <c r="A10" s="24">
        <v>937</v>
      </c>
      <c r="B10" s="25" t="s">
        <v>21</v>
      </c>
      <c r="C10" s="8">
        <v>6</v>
      </c>
      <c r="D10" s="28">
        <v>46097</v>
      </c>
      <c r="E10" s="223">
        <v>46105</v>
      </c>
      <c r="F10" s="11"/>
      <c r="G10" s="28"/>
      <c r="H10" s="28"/>
      <c r="I10" s="19"/>
      <c r="J10" s="20"/>
      <c r="K10" s="21"/>
      <c r="L10" s="11">
        <v>1</v>
      </c>
      <c r="M10" s="28">
        <v>46076</v>
      </c>
      <c r="N10" s="28">
        <v>46076</v>
      </c>
      <c r="O10" s="19"/>
      <c r="P10" s="20"/>
      <c r="Q10" s="21"/>
      <c r="R10" s="14"/>
      <c r="S10" s="15"/>
      <c r="T10" s="14"/>
    </row>
    <row r="11" spans="1:20" ht="15.75" x14ac:dyDescent="0.25">
      <c r="A11" s="24">
        <v>940</v>
      </c>
      <c r="B11" s="25" t="s">
        <v>22</v>
      </c>
      <c r="C11" s="18">
        <v>3</v>
      </c>
      <c r="D11" s="9">
        <v>46077</v>
      </c>
      <c r="E11" s="209">
        <v>46079</v>
      </c>
      <c r="F11" s="11"/>
      <c r="G11" s="9"/>
      <c r="H11" s="10"/>
      <c r="I11" s="19"/>
      <c r="J11" s="20"/>
      <c r="K11" s="21"/>
      <c r="L11" s="11"/>
      <c r="M11" s="9"/>
      <c r="N11" s="10"/>
      <c r="O11" s="18"/>
      <c r="P11" s="9"/>
      <c r="Q11" s="10"/>
      <c r="R11" s="14"/>
      <c r="S11" s="15"/>
      <c r="T11" s="14"/>
    </row>
    <row r="12" spans="1:20" ht="15.75" x14ac:dyDescent="0.25">
      <c r="A12" s="16">
        <v>941</v>
      </c>
      <c r="B12" s="7" t="s">
        <v>23</v>
      </c>
      <c r="C12" s="18"/>
      <c r="D12" s="9"/>
      <c r="E12" s="209"/>
      <c r="F12" s="11"/>
      <c r="G12" s="9"/>
      <c r="H12" s="10"/>
      <c r="I12" s="19"/>
      <c r="J12" s="20"/>
      <c r="K12" s="21"/>
      <c r="L12" s="11"/>
      <c r="M12" s="9"/>
      <c r="N12" s="10"/>
      <c r="O12" s="19"/>
      <c r="P12" s="20"/>
      <c r="Q12" s="21"/>
      <c r="R12" s="14"/>
      <c r="S12" s="15"/>
      <c r="T12" s="14"/>
    </row>
    <row r="13" spans="1:20" ht="15.75" x14ac:dyDescent="0.25">
      <c r="A13" s="16">
        <v>948</v>
      </c>
      <c r="B13" s="17" t="s">
        <v>24</v>
      </c>
      <c r="C13" s="8"/>
      <c r="D13" s="28"/>
      <c r="E13" s="223"/>
      <c r="F13" s="11"/>
      <c r="G13" s="28"/>
      <c r="H13" s="28"/>
      <c r="I13" s="19"/>
      <c r="J13" s="20"/>
      <c r="K13" s="21"/>
      <c r="L13" s="11">
        <v>1</v>
      </c>
      <c r="M13" s="28">
        <v>46073</v>
      </c>
      <c r="N13" s="28">
        <v>46073</v>
      </c>
      <c r="O13" s="19"/>
      <c r="P13" s="20"/>
      <c r="Q13" s="21"/>
      <c r="R13" s="14"/>
      <c r="S13" s="15"/>
      <c r="T13" s="14"/>
    </row>
    <row r="14" spans="1:20" ht="15.75" x14ac:dyDescent="0.25">
      <c r="A14" s="24">
        <v>950</v>
      </c>
      <c r="B14" s="25" t="s">
        <v>25</v>
      </c>
      <c r="C14" s="18">
        <v>1</v>
      </c>
      <c r="D14" s="9">
        <v>46091</v>
      </c>
      <c r="E14" s="209">
        <v>46091</v>
      </c>
      <c r="F14" s="11"/>
      <c r="G14" s="9"/>
      <c r="H14" s="10"/>
      <c r="I14" s="19"/>
      <c r="J14" s="20"/>
      <c r="K14" s="21"/>
      <c r="L14" s="11"/>
      <c r="M14" s="9"/>
      <c r="N14" s="10"/>
      <c r="O14" s="19"/>
      <c r="P14" s="20"/>
      <c r="Q14" s="21"/>
      <c r="R14" s="14"/>
      <c r="S14" s="15"/>
      <c r="T14" s="14"/>
    </row>
    <row r="15" spans="1:20" ht="15.75" x14ac:dyDescent="0.25">
      <c r="A15" s="24">
        <v>951</v>
      </c>
      <c r="B15" s="25" t="s">
        <v>26</v>
      </c>
      <c r="C15" s="8">
        <v>6</v>
      </c>
      <c r="D15" s="28">
        <v>46097</v>
      </c>
      <c r="E15" s="223">
        <v>46104</v>
      </c>
      <c r="F15" s="11"/>
      <c r="G15" s="28"/>
      <c r="H15" s="29"/>
      <c r="I15" s="19"/>
      <c r="J15" s="20"/>
      <c r="K15" s="21"/>
      <c r="L15" s="11"/>
      <c r="M15" s="28"/>
      <c r="N15" s="29"/>
      <c r="O15" s="19"/>
      <c r="P15" s="20"/>
      <c r="Q15" s="21"/>
      <c r="R15" s="14"/>
      <c r="S15" s="15"/>
      <c r="T15" s="14"/>
    </row>
    <row r="16" spans="1:20" ht="15.75" x14ac:dyDescent="0.25">
      <c r="A16" s="16">
        <v>952</v>
      </c>
      <c r="B16" s="17" t="s">
        <v>27</v>
      </c>
      <c r="C16" s="33">
        <v>5</v>
      </c>
      <c r="D16" s="30">
        <v>46095</v>
      </c>
      <c r="E16" s="224">
        <v>46100</v>
      </c>
      <c r="F16" s="11"/>
      <c r="G16" s="9"/>
      <c r="H16" s="10"/>
      <c r="I16" s="19"/>
      <c r="J16" s="20"/>
      <c r="K16" s="21"/>
      <c r="L16" s="11"/>
      <c r="M16" s="9"/>
      <c r="N16" s="10"/>
      <c r="O16" s="19"/>
      <c r="P16" s="20"/>
      <c r="Q16" s="21"/>
      <c r="R16" s="14"/>
      <c r="S16" s="15"/>
      <c r="T16" s="14"/>
    </row>
    <row r="17" spans="1:20" ht="15.75" x14ac:dyDescent="0.25">
      <c r="A17" s="247">
        <v>955</v>
      </c>
      <c r="B17" s="249" t="s">
        <v>28</v>
      </c>
      <c r="C17" s="33">
        <v>2</v>
      </c>
      <c r="D17" s="30">
        <v>46092</v>
      </c>
      <c r="E17" s="224">
        <v>46093</v>
      </c>
      <c r="F17" s="11"/>
      <c r="G17" s="9"/>
      <c r="H17" s="10"/>
      <c r="I17" s="19"/>
      <c r="J17" s="20"/>
      <c r="K17" s="21"/>
      <c r="L17" s="11"/>
      <c r="M17" s="9"/>
      <c r="N17" s="10"/>
      <c r="O17" s="19"/>
      <c r="P17" s="20"/>
      <c r="Q17" s="21"/>
      <c r="R17" s="14"/>
      <c r="S17" s="15"/>
      <c r="T17" s="14"/>
    </row>
    <row r="18" spans="1:20" ht="15.75" x14ac:dyDescent="0.25">
      <c r="A18" s="251"/>
      <c r="B18" s="260"/>
      <c r="C18" s="33">
        <v>2</v>
      </c>
      <c r="D18" s="30">
        <v>46086</v>
      </c>
      <c r="E18" s="224">
        <v>46087</v>
      </c>
      <c r="F18" s="11"/>
      <c r="G18" s="9"/>
      <c r="H18" s="10"/>
      <c r="I18" s="19"/>
      <c r="J18" s="20"/>
      <c r="K18" s="21"/>
      <c r="L18" s="11"/>
      <c r="M18" s="9"/>
      <c r="N18" s="10"/>
      <c r="O18" s="19"/>
      <c r="P18" s="20"/>
      <c r="Q18" s="21"/>
      <c r="R18" s="14"/>
      <c r="S18" s="15"/>
      <c r="T18" s="14"/>
    </row>
    <row r="19" spans="1:20" ht="15.75" x14ac:dyDescent="0.25">
      <c r="A19" s="248"/>
      <c r="B19" s="250"/>
      <c r="C19" s="18">
        <v>2</v>
      </c>
      <c r="D19" s="9">
        <v>46079</v>
      </c>
      <c r="E19" s="209">
        <v>46080</v>
      </c>
      <c r="F19" s="11"/>
      <c r="G19" s="9"/>
      <c r="H19" s="10"/>
      <c r="I19" s="19"/>
      <c r="J19" s="20"/>
      <c r="K19" s="21"/>
      <c r="L19" s="11"/>
      <c r="M19" s="9"/>
      <c r="N19" s="10"/>
      <c r="O19" s="19"/>
      <c r="P19" s="20"/>
      <c r="Q19" s="21"/>
      <c r="R19" s="14"/>
      <c r="S19" s="15"/>
      <c r="T19" s="14"/>
    </row>
    <row r="20" spans="1:20" ht="15.75" x14ac:dyDescent="0.25">
      <c r="A20" s="24">
        <v>958</v>
      </c>
      <c r="B20" s="25" t="s">
        <v>29</v>
      </c>
      <c r="C20" s="18"/>
      <c r="D20" s="9"/>
      <c r="E20" s="209"/>
      <c r="F20" s="11"/>
      <c r="G20" s="9"/>
      <c r="H20" s="10"/>
      <c r="I20" s="19"/>
      <c r="J20" s="20"/>
      <c r="K20" s="21"/>
      <c r="L20" s="11"/>
      <c r="M20" s="9"/>
      <c r="N20" s="10"/>
      <c r="O20" s="19"/>
      <c r="P20" s="20"/>
      <c r="Q20" s="21"/>
      <c r="R20" s="14"/>
      <c r="S20" s="15"/>
      <c r="T20" s="14"/>
    </row>
    <row r="21" spans="1:20" ht="15.75" x14ac:dyDescent="0.25">
      <c r="A21" s="24">
        <v>959</v>
      </c>
      <c r="B21" s="25" t="s">
        <v>30</v>
      </c>
      <c r="C21" s="8">
        <v>6</v>
      </c>
      <c r="D21" s="28">
        <v>46087</v>
      </c>
      <c r="E21" s="223">
        <v>46092</v>
      </c>
      <c r="F21" s="34"/>
      <c r="G21" s="28"/>
      <c r="H21" s="29"/>
      <c r="I21" s="34"/>
      <c r="J21" s="28"/>
      <c r="K21" s="29"/>
      <c r="L21" s="34"/>
      <c r="M21" s="28"/>
      <c r="N21" s="29"/>
      <c r="O21" s="19"/>
      <c r="P21" s="20"/>
      <c r="Q21" s="21"/>
      <c r="R21" s="14"/>
      <c r="S21" s="15"/>
      <c r="T21" s="14"/>
    </row>
    <row r="22" spans="1:20" ht="15.75" x14ac:dyDescent="0.25">
      <c r="A22" s="24">
        <v>962</v>
      </c>
      <c r="B22" s="25" t="s">
        <v>31</v>
      </c>
      <c r="C22" s="8">
        <v>2</v>
      </c>
      <c r="D22" s="28">
        <v>46097</v>
      </c>
      <c r="E22" s="223">
        <v>46098</v>
      </c>
      <c r="F22" s="34"/>
      <c r="G22" s="28"/>
      <c r="H22" s="29"/>
      <c r="I22" s="34"/>
      <c r="J22" s="28"/>
      <c r="K22" s="29"/>
      <c r="L22" s="34"/>
      <c r="M22" s="28"/>
      <c r="N22" s="29"/>
      <c r="O22" s="19"/>
      <c r="P22" s="20"/>
      <c r="Q22" s="21"/>
      <c r="R22" s="14"/>
      <c r="S22" s="15"/>
      <c r="T22" s="14"/>
    </row>
    <row r="23" spans="1:20" ht="15.75" x14ac:dyDescent="0.25">
      <c r="A23" s="24">
        <v>964</v>
      </c>
      <c r="B23" s="25" t="s">
        <v>32</v>
      </c>
      <c r="C23" s="8"/>
      <c r="D23" s="28"/>
      <c r="F23" s="34"/>
      <c r="G23" s="28"/>
      <c r="H23" s="29"/>
      <c r="I23" s="34"/>
      <c r="J23" s="28"/>
      <c r="K23" s="29"/>
      <c r="L23" s="34"/>
      <c r="M23" s="28"/>
      <c r="N23" s="29"/>
      <c r="O23" s="19"/>
      <c r="P23" s="20"/>
      <c r="Q23" s="21"/>
      <c r="R23" s="14"/>
      <c r="S23" s="15"/>
      <c r="T23" s="14"/>
    </row>
    <row r="24" spans="1:20" ht="15.75" x14ac:dyDescent="0.25">
      <c r="A24" s="24">
        <v>969</v>
      </c>
      <c r="B24" s="35" t="s">
        <v>33</v>
      </c>
      <c r="C24" s="8"/>
      <c r="D24" s="28"/>
      <c r="E24" s="223"/>
      <c r="F24" s="34"/>
      <c r="G24" s="28"/>
      <c r="H24" s="29"/>
      <c r="I24" s="34"/>
      <c r="J24" s="28"/>
      <c r="K24" s="29"/>
      <c r="L24" s="34"/>
      <c r="M24" s="28"/>
      <c r="N24" s="29"/>
      <c r="O24" s="19"/>
      <c r="P24" s="20"/>
      <c r="Q24" s="21"/>
      <c r="R24" s="14"/>
      <c r="S24" s="15"/>
      <c r="T24" s="14"/>
    </row>
    <row r="25" spans="1:20" ht="15.75" x14ac:dyDescent="0.25">
      <c r="A25" s="247">
        <v>973</v>
      </c>
      <c r="B25" s="249" t="s">
        <v>34</v>
      </c>
      <c r="C25" s="8"/>
      <c r="D25" s="28"/>
      <c r="E25" s="223"/>
      <c r="F25" s="11"/>
      <c r="G25" s="28"/>
      <c r="H25" s="28"/>
      <c r="I25" s="34"/>
      <c r="J25" s="28"/>
      <c r="K25" s="29"/>
      <c r="L25" s="11">
        <v>1</v>
      </c>
      <c r="M25" s="28">
        <v>46069</v>
      </c>
      <c r="N25" s="28">
        <v>46069</v>
      </c>
      <c r="O25" s="19"/>
      <c r="P25" s="20"/>
      <c r="Q25" s="21"/>
      <c r="R25" s="14"/>
      <c r="S25" s="15"/>
      <c r="T25" s="14"/>
    </row>
    <row r="26" spans="1:20" ht="15.75" x14ac:dyDescent="0.25">
      <c r="A26" s="248"/>
      <c r="B26" s="250"/>
      <c r="C26" s="8"/>
      <c r="D26" s="28"/>
      <c r="E26" s="223"/>
      <c r="F26" s="11"/>
      <c r="G26" s="28"/>
      <c r="H26" s="28"/>
      <c r="I26" s="34"/>
      <c r="J26" s="28"/>
      <c r="K26" s="29"/>
      <c r="L26" s="11">
        <v>1</v>
      </c>
      <c r="M26" s="28">
        <v>46072</v>
      </c>
      <c r="N26" s="28">
        <v>46072</v>
      </c>
      <c r="O26" s="19"/>
      <c r="P26" s="20"/>
      <c r="Q26" s="21"/>
      <c r="R26" s="14"/>
      <c r="S26" s="15"/>
      <c r="T26" s="14"/>
    </row>
    <row r="27" spans="1:20" ht="15.75" x14ac:dyDescent="0.25">
      <c r="A27" s="24">
        <v>981</v>
      </c>
      <c r="B27" s="25" t="s">
        <v>35</v>
      </c>
      <c r="C27" s="8"/>
      <c r="D27" s="28"/>
      <c r="E27" s="223"/>
      <c r="F27" s="11"/>
      <c r="G27" s="28"/>
      <c r="H27" s="29"/>
      <c r="I27" s="34"/>
      <c r="J27" s="28"/>
      <c r="K27" s="29"/>
      <c r="L27" s="11"/>
      <c r="M27" s="36"/>
      <c r="N27" s="37"/>
      <c r="O27" s="19"/>
      <c r="P27" s="20"/>
      <c r="Q27" s="21"/>
      <c r="R27" s="14"/>
      <c r="S27" s="15"/>
      <c r="T27" s="14"/>
    </row>
    <row r="28" spans="1:20" ht="15.75" x14ac:dyDescent="0.25">
      <c r="A28" s="24">
        <v>982</v>
      </c>
      <c r="B28" s="25" t="s">
        <v>36</v>
      </c>
      <c r="C28" s="8"/>
      <c r="D28" s="9"/>
      <c r="E28" s="209"/>
      <c r="F28" s="11"/>
      <c r="G28" s="9"/>
      <c r="H28" s="10"/>
      <c r="I28" s="34"/>
      <c r="J28" s="28"/>
      <c r="K28" s="29"/>
      <c r="L28" s="11"/>
      <c r="M28" s="22"/>
      <c r="N28" s="23"/>
      <c r="O28" s="19"/>
      <c r="P28" s="20"/>
      <c r="Q28" s="21"/>
      <c r="R28" s="14"/>
      <c r="S28" s="15"/>
      <c r="T28" s="14"/>
    </row>
    <row r="29" spans="1:20" ht="15.75" x14ac:dyDescent="0.25">
      <c r="A29" s="247">
        <v>983</v>
      </c>
      <c r="B29" s="249" t="s">
        <v>37</v>
      </c>
      <c r="C29" s="8">
        <v>1</v>
      </c>
      <c r="D29" s="9">
        <v>46080</v>
      </c>
      <c r="E29" s="209">
        <v>46080</v>
      </c>
      <c r="F29" s="11"/>
      <c r="G29" s="9"/>
      <c r="H29" s="10"/>
      <c r="I29" s="34"/>
      <c r="J29" s="28"/>
      <c r="K29" s="29"/>
      <c r="L29" s="11"/>
      <c r="M29" s="22"/>
      <c r="N29" s="23"/>
      <c r="O29" s="19"/>
      <c r="P29" s="20"/>
      <c r="Q29" s="21"/>
      <c r="R29" s="14"/>
      <c r="S29" s="15"/>
      <c r="T29" s="14"/>
    </row>
    <row r="30" spans="1:20" ht="15.75" x14ac:dyDescent="0.25">
      <c r="A30" s="248"/>
      <c r="B30" s="250"/>
      <c r="C30" s="8">
        <v>6</v>
      </c>
      <c r="D30" s="28">
        <v>46084</v>
      </c>
      <c r="E30" s="223">
        <v>46089</v>
      </c>
      <c r="F30" s="11"/>
      <c r="G30" s="28"/>
      <c r="H30" s="29"/>
      <c r="I30" s="19"/>
      <c r="J30" s="20"/>
      <c r="K30" s="21"/>
      <c r="L30" s="11"/>
      <c r="M30" s="9"/>
      <c r="N30" s="10"/>
      <c r="O30" s="19"/>
      <c r="P30" s="20"/>
      <c r="Q30" s="21"/>
      <c r="R30" s="14"/>
      <c r="S30" s="15"/>
      <c r="T30" s="14"/>
    </row>
    <row r="31" spans="1:20" ht="15.75" x14ac:dyDescent="0.25">
      <c r="A31" s="16">
        <v>985</v>
      </c>
      <c r="B31" s="17" t="s">
        <v>38</v>
      </c>
      <c r="C31" s="8"/>
      <c r="D31" s="28"/>
      <c r="E31" s="223"/>
      <c r="F31" s="38"/>
      <c r="G31" s="39"/>
      <c r="H31" s="39"/>
      <c r="I31" s="19"/>
      <c r="J31" s="20"/>
      <c r="K31" s="21"/>
      <c r="L31" s="38">
        <v>1</v>
      </c>
      <c r="M31" s="39">
        <v>46070</v>
      </c>
      <c r="N31" s="39">
        <v>46070</v>
      </c>
      <c r="O31" s="8"/>
      <c r="P31" s="28"/>
      <c r="Q31" s="29"/>
      <c r="R31" s="14"/>
      <c r="S31" s="15"/>
      <c r="T31" s="14"/>
    </row>
    <row r="32" spans="1:20" ht="15.75" x14ac:dyDescent="0.25">
      <c r="A32" s="24">
        <v>986</v>
      </c>
      <c r="B32" s="25" t="s">
        <v>39</v>
      </c>
      <c r="C32" s="32">
        <v>5</v>
      </c>
      <c r="D32" s="30">
        <v>46084</v>
      </c>
      <c r="E32" s="224">
        <v>46088</v>
      </c>
      <c r="F32" s="11"/>
      <c r="G32" s="28"/>
      <c r="H32" s="29"/>
      <c r="I32" s="19"/>
      <c r="J32" s="20"/>
      <c r="K32" s="21"/>
      <c r="L32" s="11"/>
      <c r="M32" s="28"/>
      <c r="N32" s="29"/>
      <c r="O32" s="19"/>
      <c r="P32" s="20"/>
      <c r="Q32" s="21"/>
      <c r="R32" s="14"/>
      <c r="S32" s="15"/>
      <c r="T32" s="14"/>
    </row>
    <row r="33" spans="1:20" ht="15.75" x14ac:dyDescent="0.25">
      <c r="A33" s="24">
        <v>1642</v>
      </c>
      <c r="B33" s="25" t="s">
        <v>40</v>
      </c>
      <c r="C33" s="18"/>
      <c r="D33" s="9"/>
      <c r="E33" s="209"/>
      <c r="F33" s="11"/>
      <c r="G33" s="9"/>
      <c r="H33" s="10"/>
      <c r="I33" s="11"/>
      <c r="J33" s="30"/>
      <c r="K33" s="31"/>
      <c r="L33" s="11">
        <v>1</v>
      </c>
      <c r="M33" s="9">
        <v>46083</v>
      </c>
      <c r="N33" s="10">
        <v>46083</v>
      </c>
      <c r="O33" s="19"/>
      <c r="P33" s="20"/>
      <c r="Q33" s="21"/>
      <c r="R33" s="14"/>
      <c r="S33" s="15"/>
      <c r="T33" s="14"/>
    </row>
    <row r="34" spans="1:20" ht="15.75" x14ac:dyDescent="0.25">
      <c r="A34" s="16">
        <v>1665</v>
      </c>
      <c r="B34" s="17" t="s">
        <v>41</v>
      </c>
      <c r="C34" s="18"/>
      <c r="D34" s="9"/>
      <c r="E34" s="209"/>
      <c r="F34" s="11"/>
      <c r="G34" s="9"/>
      <c r="H34" s="10"/>
      <c r="I34" s="19"/>
      <c r="J34" s="20"/>
      <c r="K34" s="21"/>
      <c r="L34" s="11"/>
      <c r="M34" s="12"/>
      <c r="N34" s="13"/>
      <c r="O34" s="19"/>
      <c r="P34" s="20"/>
      <c r="Q34" s="21"/>
      <c r="R34" s="14"/>
      <c r="S34" s="15"/>
      <c r="T34" s="14"/>
    </row>
    <row r="35" spans="1:20" ht="15.75" x14ac:dyDescent="0.25">
      <c r="A35" s="24">
        <v>2423</v>
      </c>
      <c r="B35" s="25" t="s">
        <v>42</v>
      </c>
      <c r="C35" s="18">
        <v>6</v>
      </c>
      <c r="D35" s="9">
        <v>46090</v>
      </c>
      <c r="E35" s="209">
        <v>46095</v>
      </c>
      <c r="F35" s="32"/>
      <c r="G35" s="9"/>
      <c r="H35" s="10"/>
      <c r="I35" s="19"/>
      <c r="J35" s="20"/>
      <c r="K35" s="21"/>
      <c r="L35" s="11"/>
      <c r="M35" s="22"/>
      <c r="N35" s="23"/>
      <c r="O35" s="19"/>
      <c r="P35" s="20"/>
      <c r="Q35" s="21"/>
      <c r="R35" s="14"/>
      <c r="S35" s="15"/>
      <c r="T35" s="14"/>
    </row>
    <row r="36" spans="1:20" ht="15.75" x14ac:dyDescent="0.25">
      <c r="A36" s="24">
        <v>2424</v>
      </c>
      <c r="B36" s="25" t="s">
        <v>43</v>
      </c>
      <c r="C36" s="18">
        <v>6</v>
      </c>
      <c r="D36" s="9">
        <v>46097</v>
      </c>
      <c r="E36" s="209">
        <v>46104</v>
      </c>
      <c r="F36" s="11"/>
      <c r="G36" s="9"/>
      <c r="H36" s="10"/>
      <c r="I36" s="19"/>
      <c r="J36" s="20"/>
      <c r="K36" s="21"/>
      <c r="L36" s="11"/>
      <c r="M36" s="9"/>
      <c r="N36" s="10"/>
      <c r="O36" s="19"/>
      <c r="P36" s="20"/>
      <c r="Q36" s="21"/>
      <c r="R36" s="14"/>
      <c r="S36" s="15"/>
      <c r="T36" s="14"/>
    </row>
    <row r="37" spans="1:20" ht="15.75" x14ac:dyDescent="0.25">
      <c r="A37" s="24">
        <v>2425</v>
      </c>
      <c r="B37" s="25" t="s">
        <v>44</v>
      </c>
      <c r="C37" s="18">
        <v>6</v>
      </c>
      <c r="D37" s="9">
        <v>46093</v>
      </c>
      <c r="E37" s="209">
        <v>46099</v>
      </c>
      <c r="F37" s="11"/>
      <c r="G37" s="9"/>
      <c r="H37" s="10"/>
      <c r="I37" s="19"/>
      <c r="J37" s="20"/>
      <c r="K37" s="21"/>
      <c r="L37" s="27"/>
      <c r="M37" s="9"/>
      <c r="N37" s="10"/>
      <c r="O37" s="19"/>
      <c r="P37" s="20"/>
      <c r="Q37" s="21"/>
      <c r="R37" s="14"/>
      <c r="S37" s="15"/>
      <c r="T37" s="14"/>
    </row>
    <row r="38" spans="1:20" ht="15.75" x14ac:dyDescent="0.25">
      <c r="A38" s="16">
        <v>2426</v>
      </c>
      <c r="B38" s="17" t="s">
        <v>45</v>
      </c>
      <c r="C38" s="18"/>
      <c r="D38" s="9"/>
      <c r="E38" s="209"/>
      <c r="F38" s="11"/>
      <c r="G38" s="9"/>
      <c r="H38" s="10"/>
      <c r="I38" s="19"/>
      <c r="J38" s="20"/>
      <c r="K38" s="21"/>
      <c r="L38" s="34"/>
      <c r="M38" s="9"/>
      <c r="N38" s="10"/>
      <c r="O38" s="19"/>
      <c r="P38" s="20"/>
      <c r="Q38" s="21"/>
      <c r="R38" s="14"/>
      <c r="S38" s="15"/>
      <c r="T38" s="14"/>
    </row>
    <row r="39" spans="1:20" ht="15.75" x14ac:dyDescent="0.25">
      <c r="A39" s="24">
        <v>2427</v>
      </c>
      <c r="B39" s="25" t="s">
        <v>46</v>
      </c>
      <c r="C39" s="18"/>
      <c r="D39" s="9"/>
      <c r="E39" s="209"/>
      <c r="F39" s="27"/>
      <c r="G39" s="9"/>
      <c r="H39" s="10"/>
      <c r="I39" s="19"/>
      <c r="J39" s="20"/>
      <c r="K39" s="21"/>
      <c r="L39" s="34"/>
      <c r="M39" s="9"/>
      <c r="N39" s="10"/>
      <c r="O39" s="19"/>
      <c r="P39" s="20"/>
      <c r="Q39" s="21"/>
      <c r="R39" s="14"/>
      <c r="S39" s="15"/>
      <c r="T39" s="14"/>
    </row>
    <row r="40" spans="1:20" ht="15.75" x14ac:dyDescent="0.25">
      <c r="A40" s="24">
        <v>2429</v>
      </c>
      <c r="B40" s="25" t="s">
        <v>47</v>
      </c>
      <c r="C40" s="18"/>
      <c r="D40" s="9"/>
      <c r="E40" s="209"/>
      <c r="F40" s="11"/>
      <c r="G40" s="9"/>
      <c r="H40" s="10"/>
      <c r="I40" s="19"/>
      <c r="J40" s="20"/>
      <c r="K40" s="21"/>
      <c r="L40" s="34"/>
      <c r="M40" s="9"/>
      <c r="N40" s="10"/>
      <c r="O40" s="19"/>
      <c r="P40" s="20"/>
      <c r="Q40" s="21"/>
      <c r="R40" s="14"/>
      <c r="S40" s="15"/>
      <c r="T40" s="14"/>
    </row>
    <row r="41" spans="1:20" ht="15.75" x14ac:dyDescent="0.25">
      <c r="A41" s="24">
        <v>5709</v>
      </c>
      <c r="B41" s="25" t="s">
        <v>53</v>
      </c>
      <c r="C41" s="18">
        <v>1</v>
      </c>
      <c r="D41" s="9">
        <v>46088</v>
      </c>
      <c r="E41" s="209">
        <v>46088</v>
      </c>
      <c r="F41" s="11"/>
      <c r="G41" s="9"/>
      <c r="H41" s="10"/>
      <c r="I41" s="19"/>
      <c r="J41" s="20"/>
      <c r="K41" s="21"/>
      <c r="L41" s="34"/>
      <c r="M41" s="9"/>
      <c r="N41" s="10"/>
      <c r="O41" s="19"/>
      <c r="P41" s="20"/>
      <c r="Q41" s="21"/>
      <c r="R41" s="14"/>
      <c r="S41" s="15"/>
      <c r="T41" s="14"/>
    </row>
    <row r="42" spans="1:20" ht="15.75" x14ac:dyDescent="0.25">
      <c r="A42" s="247">
        <v>5710</v>
      </c>
      <c r="B42" s="249" t="s">
        <v>54</v>
      </c>
      <c r="C42" s="18">
        <v>5</v>
      </c>
      <c r="D42" s="9">
        <v>46076</v>
      </c>
      <c r="E42" s="209">
        <v>46080</v>
      </c>
      <c r="F42" s="11"/>
      <c r="G42" s="9"/>
      <c r="H42" s="10"/>
      <c r="I42" s="19"/>
      <c r="J42" s="20"/>
      <c r="K42" s="21"/>
      <c r="L42" s="34"/>
      <c r="M42" s="9"/>
      <c r="N42" s="10"/>
      <c r="O42" s="19"/>
      <c r="P42" s="20"/>
      <c r="Q42" s="21"/>
      <c r="R42" s="14"/>
      <c r="S42" s="15"/>
      <c r="T42" s="14"/>
    </row>
    <row r="43" spans="1:20" ht="15.75" x14ac:dyDescent="0.25">
      <c r="A43" s="248"/>
      <c r="B43" s="250"/>
      <c r="C43" s="18">
        <v>2</v>
      </c>
      <c r="D43" s="9">
        <v>46099</v>
      </c>
      <c r="E43" s="209">
        <v>46100</v>
      </c>
      <c r="F43" s="11"/>
      <c r="G43" s="9"/>
      <c r="H43" s="10"/>
      <c r="I43" s="19"/>
      <c r="J43" s="20"/>
      <c r="K43" s="21"/>
      <c r="L43" s="34"/>
      <c r="M43" s="9"/>
      <c r="N43" s="10"/>
      <c r="O43" s="19"/>
      <c r="P43" s="20"/>
      <c r="Q43" s="21"/>
      <c r="R43" s="14"/>
      <c r="S43" s="15"/>
      <c r="T43" s="14"/>
    </row>
    <row r="44" spans="1:20" ht="15.75" x14ac:dyDescent="0.25">
      <c r="A44" s="24">
        <v>7787</v>
      </c>
      <c r="B44" s="25" t="s">
        <v>56</v>
      </c>
      <c r="C44" s="18">
        <v>1</v>
      </c>
      <c r="D44" s="9">
        <v>46104</v>
      </c>
      <c r="E44" s="229">
        <v>46104</v>
      </c>
      <c r="F44" s="229"/>
      <c r="G44" s="9"/>
      <c r="H44" s="10"/>
      <c r="I44" s="19"/>
      <c r="J44" s="20"/>
      <c r="K44" s="21"/>
      <c r="L44" s="34"/>
      <c r="M44" s="9"/>
      <c r="N44" s="10"/>
      <c r="O44" s="19"/>
      <c r="P44" s="20"/>
      <c r="Q44" s="21"/>
      <c r="R44" s="14"/>
      <c r="S44" s="15"/>
      <c r="T44" s="14"/>
    </row>
    <row r="45" spans="1:20" ht="15.75" x14ac:dyDescent="0.25">
      <c r="A45" s="24">
        <v>7788</v>
      </c>
      <c r="B45" s="25" t="s">
        <v>52</v>
      </c>
      <c r="C45" s="18">
        <v>6</v>
      </c>
      <c r="D45" s="9">
        <v>46090</v>
      </c>
      <c r="E45" s="209">
        <v>46095</v>
      </c>
      <c r="F45" s="11"/>
      <c r="G45" s="9"/>
      <c r="H45" s="10"/>
      <c r="I45" s="19"/>
      <c r="J45" s="20"/>
      <c r="K45" s="21"/>
      <c r="L45" s="34"/>
      <c r="M45" s="9"/>
      <c r="N45" s="10"/>
      <c r="O45" s="19"/>
      <c r="P45" s="20"/>
      <c r="Q45" s="21"/>
      <c r="R45" s="14"/>
      <c r="S45" s="15"/>
      <c r="T45" s="14"/>
    </row>
    <row r="46" spans="1:20" ht="15.75" x14ac:dyDescent="0.25">
      <c r="A46" s="247">
        <v>7790</v>
      </c>
      <c r="B46" s="249" t="s">
        <v>49</v>
      </c>
      <c r="C46" s="18">
        <v>4</v>
      </c>
      <c r="D46" s="9">
        <v>46081</v>
      </c>
      <c r="E46" s="209">
        <v>46083</v>
      </c>
      <c r="F46" s="11"/>
      <c r="G46" s="9"/>
      <c r="H46" s="10"/>
      <c r="I46" s="19"/>
      <c r="J46" s="20"/>
      <c r="K46" s="21"/>
      <c r="L46" s="34"/>
      <c r="M46" s="9"/>
      <c r="N46" s="10"/>
      <c r="O46" s="19"/>
      <c r="P46" s="20"/>
      <c r="Q46" s="21"/>
      <c r="R46" s="14"/>
      <c r="S46" s="15"/>
      <c r="T46" s="14"/>
    </row>
    <row r="47" spans="1:20" ht="15.75" x14ac:dyDescent="0.25">
      <c r="A47" s="248"/>
      <c r="B47" s="250"/>
      <c r="C47" s="18">
        <v>3</v>
      </c>
      <c r="D47" s="9">
        <v>46090</v>
      </c>
      <c r="E47" s="209">
        <v>46092</v>
      </c>
      <c r="F47" s="11"/>
      <c r="G47" s="9"/>
      <c r="H47" s="10"/>
      <c r="I47" s="19"/>
      <c r="J47" s="20"/>
      <c r="K47" s="21"/>
      <c r="L47" s="34"/>
      <c r="M47" s="9"/>
      <c r="N47" s="10"/>
      <c r="O47" s="19"/>
      <c r="P47" s="20"/>
      <c r="Q47" s="21"/>
      <c r="R47" s="14"/>
      <c r="S47" s="15"/>
      <c r="T47" s="14"/>
    </row>
    <row r="48" spans="1:20" ht="15.75" x14ac:dyDescent="0.25">
      <c r="A48" s="16">
        <v>7791</v>
      </c>
      <c r="B48" s="213" t="s">
        <v>50</v>
      </c>
      <c r="C48" s="18"/>
      <c r="D48" s="9"/>
      <c r="E48" s="209"/>
      <c r="F48" s="11"/>
      <c r="G48" s="9"/>
      <c r="H48" s="10"/>
      <c r="I48" s="19"/>
      <c r="J48" s="20"/>
      <c r="K48" s="21"/>
      <c r="L48" s="34"/>
      <c r="M48" s="9"/>
      <c r="N48" s="10"/>
      <c r="O48" s="19"/>
      <c r="P48" s="20"/>
      <c r="Q48" s="21"/>
      <c r="R48" s="14"/>
      <c r="S48" s="15"/>
      <c r="T48" s="14"/>
    </row>
    <row r="49" spans="1:20" ht="15.75" x14ac:dyDescent="0.25">
      <c r="A49" s="16">
        <v>7792</v>
      </c>
      <c r="B49" s="213" t="s">
        <v>51</v>
      </c>
      <c r="C49" s="207">
        <v>6</v>
      </c>
      <c r="D49" s="41">
        <v>46077</v>
      </c>
      <c r="E49" s="215">
        <v>46082</v>
      </c>
      <c r="F49" s="38"/>
      <c r="G49" s="41"/>
      <c r="H49" s="42"/>
      <c r="I49" s="19"/>
      <c r="J49" s="20"/>
      <c r="K49" s="21"/>
      <c r="L49" s="34"/>
      <c r="M49" s="9"/>
      <c r="N49" s="10"/>
      <c r="O49" s="19"/>
      <c r="P49" s="20"/>
      <c r="Q49" s="21"/>
      <c r="R49" s="14"/>
      <c r="S49" s="15"/>
      <c r="T49" s="14"/>
    </row>
    <row r="50" spans="1:20" ht="15.75" x14ac:dyDescent="0.25">
      <c r="A50" s="16">
        <v>7994</v>
      </c>
      <c r="B50" s="213" t="s">
        <v>128</v>
      </c>
      <c r="C50" s="214"/>
      <c r="D50" s="41"/>
      <c r="E50" s="215"/>
      <c r="F50" s="38"/>
      <c r="G50" s="41"/>
      <c r="H50" s="42"/>
      <c r="I50" s="216">
        <v>10</v>
      </c>
      <c r="J50" s="9">
        <v>46074</v>
      </c>
      <c r="K50" s="10">
        <v>46083</v>
      </c>
      <c r="L50" s="219"/>
      <c r="M50" s="41"/>
      <c r="N50" s="42"/>
      <c r="O50" s="216"/>
      <c r="P50" s="217"/>
      <c r="Q50" s="218"/>
      <c r="R50" s="220"/>
      <c r="S50" s="221"/>
      <c r="T50" s="220"/>
    </row>
    <row r="51" spans="1:20" ht="16.5" thickBot="1" x14ac:dyDescent="0.3">
      <c r="A51" s="46">
        <v>113</v>
      </c>
      <c r="B51" s="47" t="s">
        <v>55</v>
      </c>
      <c r="C51" s="51">
        <v>11</v>
      </c>
      <c r="D51" s="52">
        <v>46100</v>
      </c>
      <c r="E51" s="53">
        <v>46083</v>
      </c>
      <c r="F51" s="210"/>
      <c r="G51" s="52"/>
      <c r="H51" s="53"/>
      <c r="I51" s="54"/>
      <c r="J51" s="55"/>
      <c r="K51" s="56"/>
      <c r="L51" s="210"/>
      <c r="M51" s="211"/>
      <c r="N51" s="212"/>
      <c r="O51" s="54"/>
      <c r="P51" s="55"/>
      <c r="Q51" s="56"/>
      <c r="R51" s="57"/>
      <c r="S51" s="58"/>
      <c r="T51" s="57"/>
    </row>
    <row r="52" spans="1:20" ht="15.75" x14ac:dyDescent="0.25">
      <c r="A52" s="1">
        <v>42</v>
      </c>
      <c r="B52" s="59"/>
      <c r="C52" s="60">
        <f>SUM(C5:C51)</f>
        <v>126</v>
      </c>
      <c r="D52" s="60"/>
      <c r="E52" s="60"/>
      <c r="F52" s="60">
        <f>SUM(F5:F51)</f>
        <v>0</v>
      </c>
      <c r="G52" s="60"/>
      <c r="H52" s="60"/>
      <c r="I52" s="61">
        <f>SUM(I4:I51)</f>
        <v>10</v>
      </c>
      <c r="J52" s="60"/>
      <c r="K52" s="60"/>
      <c r="L52" s="60">
        <f>SUM(L5:L51)</f>
        <v>6</v>
      </c>
      <c r="M52" s="60"/>
      <c r="N52" s="60"/>
      <c r="O52" s="60">
        <v>0</v>
      </c>
      <c r="P52" s="60"/>
      <c r="Q52" s="60"/>
      <c r="R52" s="62"/>
      <c r="S52" s="63">
        <f>SUM(S5:S51)</f>
        <v>0</v>
      </c>
      <c r="T52" s="63">
        <f>SUM(T5:T51)</f>
        <v>0</v>
      </c>
    </row>
    <row r="53" spans="1:20" ht="15.75" x14ac:dyDescent="0.25">
      <c r="A53" s="60"/>
      <c r="B53" s="64" t="s">
        <v>57</v>
      </c>
      <c r="C53" s="65"/>
      <c r="D53" s="1"/>
      <c r="E53" s="1"/>
      <c r="F53" s="65"/>
      <c r="G53" s="1"/>
      <c r="H53" s="1"/>
      <c r="I53" s="65"/>
      <c r="J53" s="1"/>
      <c r="K53" s="1"/>
      <c r="L53" s="65"/>
      <c r="M53" s="1"/>
      <c r="N53" s="59"/>
      <c r="O53" s="65"/>
      <c r="P53" s="1"/>
      <c r="Q53" s="1"/>
      <c r="R53" s="1"/>
      <c r="S53" s="66"/>
      <c r="T53" s="66"/>
    </row>
    <row r="54" spans="1:20" ht="15.75" x14ac:dyDescent="0.25">
      <c r="A54" s="60"/>
      <c r="B54" s="67" t="s">
        <v>58</v>
      </c>
      <c r="C54" s="65"/>
      <c r="D54" s="1"/>
      <c r="E54" s="67"/>
      <c r="F54" s="65"/>
      <c r="G54" s="1"/>
      <c r="H54" s="1"/>
      <c r="I54" s="65"/>
      <c r="J54" s="1"/>
      <c r="K54" s="1"/>
      <c r="L54" s="65"/>
      <c r="M54" s="234" t="s">
        <v>59</v>
      </c>
      <c r="N54" s="234"/>
      <c r="O54" s="234"/>
      <c r="P54" s="234"/>
      <c r="Q54" s="234"/>
      <c r="R54" s="234"/>
      <c r="S54" s="1"/>
      <c r="T54" s="1"/>
    </row>
  </sheetData>
  <mergeCells count="23">
    <mergeCell ref="M54:R54"/>
    <mergeCell ref="A42:A43"/>
    <mergeCell ref="B42:B43"/>
    <mergeCell ref="T3:T4"/>
    <mergeCell ref="A1:B1"/>
    <mergeCell ref="A2:B2"/>
    <mergeCell ref="A3:A4"/>
    <mergeCell ref="B3:B4"/>
    <mergeCell ref="C3:E3"/>
    <mergeCell ref="F3:H3"/>
    <mergeCell ref="I3:K3"/>
    <mergeCell ref="L3:N3"/>
    <mergeCell ref="O3:Q3"/>
    <mergeCell ref="R3:R4"/>
    <mergeCell ref="S3:S4"/>
    <mergeCell ref="B25:B26"/>
    <mergeCell ref="B17:B19"/>
    <mergeCell ref="A17:A19"/>
    <mergeCell ref="A29:A30"/>
    <mergeCell ref="B29:B30"/>
    <mergeCell ref="A46:A47"/>
    <mergeCell ref="B46:B47"/>
    <mergeCell ref="A25:A26"/>
  </mergeCells>
  <pageMargins left="0.7" right="0.7" top="0.75" bottom="0.75" header="0.3" footer="0.3"/>
  <pageSetup paperSize="9" scale="48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9678-9012-4DAE-9960-D4AA0DD66C6F}">
  <dimension ref="A1:T50"/>
  <sheetViews>
    <sheetView tabSelected="1" zoomScale="87" zoomScaleNormal="87" workbookViewId="0">
      <selection activeCell="E17" sqref="E17"/>
    </sheetView>
  </sheetViews>
  <sheetFormatPr baseColWidth="10" defaultRowHeight="15" x14ac:dyDescent="0.25"/>
  <cols>
    <col min="2" max="2" width="40.5703125" customWidth="1"/>
    <col min="3" max="8" width="12.7109375" bestFit="1" customWidth="1"/>
    <col min="10" max="11" width="13" bestFit="1" customWidth="1"/>
    <col min="13" max="13" width="12.7109375" customWidth="1"/>
    <col min="14" max="14" width="13" customWidth="1"/>
  </cols>
  <sheetData>
    <row r="1" spans="1:20" ht="15.75" x14ac:dyDescent="0.25">
      <c r="A1" s="242" t="s">
        <v>0</v>
      </c>
      <c r="B1" s="24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6.5" thickBot="1" x14ac:dyDescent="0.3">
      <c r="A2" s="243"/>
      <c r="B2" s="244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x14ac:dyDescent="0.25">
      <c r="A3" s="245" t="s">
        <v>2</v>
      </c>
      <c r="B3" s="245" t="s">
        <v>3</v>
      </c>
      <c r="C3" s="236" t="s">
        <v>4</v>
      </c>
      <c r="D3" s="236"/>
      <c r="E3" s="236"/>
      <c r="F3" s="235" t="s">
        <v>5</v>
      </c>
      <c r="G3" s="236"/>
      <c r="H3" s="237"/>
      <c r="I3" s="235" t="s">
        <v>6</v>
      </c>
      <c r="J3" s="236"/>
      <c r="K3" s="237"/>
      <c r="L3" s="235" t="s">
        <v>7</v>
      </c>
      <c r="M3" s="236"/>
      <c r="N3" s="237"/>
      <c r="O3" s="235" t="s">
        <v>8</v>
      </c>
      <c r="P3" s="236"/>
      <c r="Q3" s="237"/>
      <c r="R3" s="238" t="s">
        <v>9</v>
      </c>
      <c r="S3" s="240" t="s">
        <v>10</v>
      </c>
      <c r="T3" s="238" t="s">
        <v>11</v>
      </c>
    </row>
    <row r="4" spans="1:20" ht="15.75" x14ac:dyDescent="0.25">
      <c r="A4" s="246"/>
      <c r="B4" s="246"/>
      <c r="C4" s="2" t="s">
        <v>12</v>
      </c>
      <c r="D4" s="3" t="s">
        <v>13</v>
      </c>
      <c r="E4" s="222" t="s">
        <v>14</v>
      </c>
      <c r="F4" s="5" t="s">
        <v>12</v>
      </c>
      <c r="G4" s="3" t="s">
        <v>13</v>
      </c>
      <c r="H4" s="4" t="s">
        <v>14</v>
      </c>
      <c r="I4" s="5" t="s">
        <v>12</v>
      </c>
      <c r="J4" s="3" t="s">
        <v>13</v>
      </c>
      <c r="K4" s="4" t="s">
        <v>14</v>
      </c>
      <c r="L4" s="5" t="s">
        <v>12</v>
      </c>
      <c r="M4" s="3" t="s">
        <v>13</v>
      </c>
      <c r="N4" s="4" t="s">
        <v>14</v>
      </c>
      <c r="O4" s="5" t="s">
        <v>12</v>
      </c>
      <c r="P4" s="3" t="s">
        <v>13</v>
      </c>
      <c r="Q4" s="4" t="s">
        <v>15</v>
      </c>
      <c r="R4" s="239"/>
      <c r="S4" s="241"/>
      <c r="T4" s="239"/>
    </row>
    <row r="5" spans="1:20" x14ac:dyDescent="0.25">
      <c r="A5" s="308"/>
      <c r="B5" s="308"/>
      <c r="C5" s="308"/>
      <c r="D5" s="308"/>
      <c r="E5" s="308"/>
      <c r="F5" s="308"/>
      <c r="G5" s="308"/>
      <c r="H5" s="308"/>
      <c r="I5" s="308"/>
      <c r="J5" s="308"/>
      <c r="K5" s="308"/>
      <c r="L5" s="308"/>
      <c r="M5" s="308"/>
      <c r="N5" s="308"/>
      <c r="O5" s="308"/>
      <c r="P5" s="308"/>
      <c r="Q5" s="308"/>
      <c r="R5" s="308"/>
      <c r="S5" s="308"/>
      <c r="T5" s="308"/>
    </row>
    <row r="6" spans="1:20" x14ac:dyDescent="0.25">
      <c r="A6" s="308"/>
      <c r="B6" s="308"/>
      <c r="C6" s="308"/>
      <c r="D6" s="308"/>
      <c r="E6" s="308"/>
      <c r="F6" s="308"/>
      <c r="G6" s="308"/>
      <c r="H6" s="308"/>
      <c r="I6" s="308"/>
      <c r="J6" s="308"/>
      <c r="K6" s="308"/>
      <c r="L6" s="308"/>
      <c r="M6" s="308"/>
      <c r="N6" s="308"/>
      <c r="O6" s="308"/>
      <c r="P6" s="308"/>
      <c r="Q6" s="308"/>
      <c r="R6" s="308"/>
      <c r="S6" s="308"/>
      <c r="T6" s="308"/>
    </row>
    <row r="7" spans="1:20" x14ac:dyDescent="0.25">
      <c r="A7" s="308"/>
      <c r="B7" s="308"/>
      <c r="C7" s="308"/>
      <c r="D7" s="308"/>
      <c r="E7" s="308"/>
      <c r="F7" s="308"/>
      <c r="G7" s="308"/>
      <c r="H7" s="308"/>
      <c r="I7" s="308"/>
      <c r="J7" s="308"/>
      <c r="K7" s="308"/>
      <c r="L7" s="308"/>
      <c r="M7" s="308"/>
      <c r="N7" s="308"/>
      <c r="O7" s="308"/>
      <c r="P7" s="308"/>
      <c r="Q7" s="308"/>
      <c r="R7" s="308"/>
      <c r="S7" s="308"/>
      <c r="T7" s="308"/>
    </row>
    <row r="8" spans="1:20" x14ac:dyDescent="0.25">
      <c r="A8" s="308"/>
      <c r="B8" s="308"/>
      <c r="C8" s="308"/>
      <c r="D8" s="308"/>
      <c r="E8" s="308"/>
      <c r="F8" s="308"/>
      <c r="G8" s="308"/>
      <c r="H8" s="308"/>
      <c r="I8" s="308"/>
      <c r="J8" s="308"/>
      <c r="K8" s="308"/>
      <c r="L8" s="308"/>
      <c r="M8" s="308"/>
      <c r="N8" s="308"/>
      <c r="O8" s="308"/>
      <c r="P8" s="308"/>
      <c r="Q8" s="308"/>
      <c r="R8" s="308"/>
      <c r="S8" s="308"/>
      <c r="T8" s="308"/>
    </row>
    <row r="9" spans="1:20" x14ac:dyDescent="0.25">
      <c r="A9" s="308"/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</row>
    <row r="10" spans="1:20" x14ac:dyDescent="0.25">
      <c r="A10" s="308"/>
      <c r="B10" s="308"/>
      <c r="C10" s="308"/>
      <c r="D10" s="308"/>
      <c r="E10" s="308"/>
      <c r="F10" s="308"/>
      <c r="G10" s="308"/>
      <c r="H10" s="308"/>
      <c r="I10" s="308"/>
      <c r="J10" s="308"/>
      <c r="K10" s="308"/>
      <c r="L10" s="308"/>
      <c r="M10" s="308"/>
      <c r="N10" s="308"/>
      <c r="O10" s="308"/>
      <c r="P10" s="308"/>
      <c r="Q10" s="308"/>
      <c r="R10" s="308"/>
      <c r="S10" s="308"/>
      <c r="T10" s="308"/>
    </row>
    <row r="11" spans="1:20" x14ac:dyDescent="0.25">
      <c r="A11" s="308"/>
      <c r="B11" s="308"/>
      <c r="C11" s="308"/>
      <c r="D11" s="308"/>
      <c r="E11" s="308"/>
      <c r="F11" s="308"/>
      <c r="G11" s="308"/>
      <c r="H11" s="308"/>
      <c r="I11" s="308"/>
      <c r="J11" s="308"/>
      <c r="K11" s="308"/>
      <c r="L11" s="308"/>
      <c r="M11" s="308"/>
      <c r="N11" s="308"/>
      <c r="O11" s="308"/>
      <c r="P11" s="308"/>
      <c r="Q11" s="308"/>
      <c r="R11" s="308"/>
      <c r="S11" s="308"/>
      <c r="T11" s="308"/>
    </row>
    <row r="12" spans="1:20" x14ac:dyDescent="0.25">
      <c r="A12" s="308"/>
      <c r="B12" s="308"/>
      <c r="C12" s="308"/>
      <c r="D12" s="308"/>
      <c r="E12" s="308"/>
      <c r="F12" s="308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308"/>
      <c r="R12" s="308"/>
      <c r="S12" s="308"/>
      <c r="T12" s="308"/>
    </row>
    <row r="13" spans="1:20" x14ac:dyDescent="0.25">
      <c r="A13" s="308"/>
      <c r="B13" s="308"/>
      <c r="C13" s="308"/>
      <c r="D13" s="308"/>
      <c r="E13" s="308"/>
      <c r="F13" s="308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308"/>
      <c r="R13" s="308"/>
      <c r="S13" s="308"/>
      <c r="T13" s="308"/>
    </row>
    <row r="14" spans="1:20" x14ac:dyDescent="0.25">
      <c r="A14" s="308"/>
      <c r="B14" s="308"/>
      <c r="C14" s="308"/>
      <c r="D14" s="308"/>
      <c r="E14" s="308"/>
      <c r="F14" s="308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8"/>
      <c r="R14" s="308"/>
      <c r="S14" s="308"/>
      <c r="T14" s="308"/>
    </row>
    <row r="15" spans="1:20" x14ac:dyDescent="0.25">
      <c r="A15" s="308"/>
      <c r="B15" s="308"/>
      <c r="C15" s="308"/>
      <c r="D15" s="308"/>
      <c r="E15" s="308"/>
      <c r="F15" s="308"/>
      <c r="G15" s="308"/>
      <c r="H15" s="308"/>
      <c r="I15" s="308"/>
      <c r="J15" s="308"/>
      <c r="K15" s="308"/>
      <c r="L15" s="308"/>
      <c r="M15" s="308"/>
      <c r="N15" s="308"/>
      <c r="O15" s="308"/>
      <c r="P15" s="308"/>
      <c r="Q15" s="308"/>
      <c r="R15" s="308"/>
      <c r="S15" s="308"/>
      <c r="T15" s="308"/>
    </row>
    <row r="16" spans="1:20" x14ac:dyDescent="0.25">
      <c r="A16" s="308"/>
      <c r="B16" s="308"/>
      <c r="C16" s="308"/>
      <c r="D16" s="308"/>
      <c r="E16" s="308"/>
      <c r="F16" s="308"/>
      <c r="G16" s="308"/>
      <c r="H16" s="308"/>
      <c r="I16" s="308"/>
      <c r="J16" s="308"/>
      <c r="K16" s="308"/>
      <c r="L16" s="308"/>
      <c r="M16" s="308"/>
      <c r="N16" s="308"/>
      <c r="O16" s="308"/>
      <c r="P16" s="308"/>
      <c r="Q16" s="308"/>
      <c r="R16" s="308"/>
      <c r="S16" s="308"/>
      <c r="T16" s="308"/>
    </row>
    <row r="17" spans="1:20" x14ac:dyDescent="0.25">
      <c r="A17" s="308"/>
      <c r="B17" s="308"/>
      <c r="C17" s="308"/>
      <c r="D17" s="308"/>
      <c r="E17" s="308"/>
      <c r="F17" s="308"/>
      <c r="G17" s="308"/>
      <c r="H17" s="308"/>
      <c r="I17" s="308"/>
      <c r="J17" s="308"/>
      <c r="K17" s="308"/>
      <c r="L17" s="308"/>
      <c r="M17" s="308"/>
      <c r="N17" s="308"/>
      <c r="O17" s="308"/>
      <c r="P17" s="308"/>
      <c r="Q17" s="308"/>
      <c r="R17" s="308"/>
      <c r="S17" s="308"/>
      <c r="T17" s="308"/>
    </row>
    <row r="18" spans="1:20" x14ac:dyDescent="0.25">
      <c r="A18" s="308"/>
      <c r="B18" s="308"/>
      <c r="C18" s="308"/>
      <c r="D18" s="308"/>
      <c r="E18" s="308"/>
      <c r="F18" s="308"/>
      <c r="G18" s="308"/>
      <c r="H18" s="308"/>
      <c r="I18" s="308"/>
      <c r="J18" s="308"/>
      <c r="K18" s="308"/>
      <c r="L18" s="308"/>
      <c r="M18" s="308"/>
      <c r="N18" s="308"/>
      <c r="O18" s="308"/>
      <c r="P18" s="308"/>
      <c r="Q18" s="308"/>
      <c r="R18" s="308"/>
      <c r="S18" s="308"/>
      <c r="T18" s="308"/>
    </row>
    <row r="19" spans="1:20" x14ac:dyDescent="0.25">
      <c r="A19" s="308"/>
      <c r="B19" s="308"/>
      <c r="C19" s="308"/>
      <c r="D19" s="308"/>
      <c r="E19" s="308"/>
      <c r="F19" s="308"/>
      <c r="G19" s="308"/>
      <c r="H19" s="308"/>
      <c r="I19" s="308"/>
      <c r="J19" s="308"/>
      <c r="K19" s="308"/>
      <c r="L19" s="308"/>
      <c r="M19" s="308"/>
      <c r="N19" s="308"/>
      <c r="O19" s="308"/>
      <c r="P19" s="308"/>
      <c r="Q19" s="308"/>
      <c r="R19" s="308"/>
      <c r="S19" s="308"/>
      <c r="T19" s="308"/>
    </row>
    <row r="20" spans="1:20" x14ac:dyDescent="0.25">
      <c r="A20" s="308"/>
      <c r="B20" s="308"/>
      <c r="C20" s="308"/>
      <c r="D20" s="308"/>
      <c r="E20" s="308"/>
      <c r="F20" s="308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308"/>
      <c r="R20" s="308"/>
      <c r="S20" s="308"/>
      <c r="T20" s="308"/>
    </row>
    <row r="21" spans="1:20" x14ac:dyDescent="0.25">
      <c r="A21" s="308"/>
      <c r="B21" s="308"/>
      <c r="C21" s="308"/>
      <c r="D21" s="308"/>
      <c r="E21" s="308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8"/>
    </row>
    <row r="22" spans="1:20" x14ac:dyDescent="0.25">
      <c r="A22" s="308"/>
      <c r="B22" s="308"/>
      <c r="C22" s="308"/>
      <c r="D22" s="308"/>
      <c r="E22" s="308"/>
      <c r="F22" s="308"/>
      <c r="G22" s="308"/>
      <c r="H22" s="308"/>
      <c r="I22" s="308"/>
      <c r="J22" s="308"/>
      <c r="K22" s="308"/>
      <c r="L22" s="308"/>
      <c r="M22" s="308"/>
      <c r="N22" s="308"/>
      <c r="O22" s="308"/>
      <c r="P22" s="308"/>
      <c r="Q22" s="308"/>
      <c r="R22" s="308"/>
      <c r="S22" s="308"/>
      <c r="T22" s="308"/>
    </row>
    <row r="23" spans="1:20" x14ac:dyDescent="0.25">
      <c r="A23" s="308"/>
      <c r="B23" s="308"/>
      <c r="C23" s="308"/>
      <c r="D23" s="308"/>
      <c r="E23" s="308"/>
      <c r="F23" s="308"/>
      <c r="G23" s="308"/>
      <c r="H23" s="308"/>
      <c r="I23" s="308"/>
      <c r="J23" s="308"/>
      <c r="K23" s="308"/>
      <c r="L23" s="308"/>
      <c r="M23" s="308"/>
      <c r="N23" s="308"/>
      <c r="O23" s="308"/>
      <c r="P23" s="308"/>
      <c r="Q23" s="308"/>
      <c r="R23" s="308"/>
      <c r="S23" s="308"/>
      <c r="T23" s="308"/>
    </row>
    <row r="24" spans="1:20" x14ac:dyDescent="0.25">
      <c r="A24" s="308"/>
      <c r="B24" s="308"/>
      <c r="C24" s="308"/>
      <c r="D24" s="308"/>
      <c r="E24" s="308"/>
      <c r="F24" s="308"/>
      <c r="G24" s="308"/>
      <c r="H24" s="308"/>
      <c r="I24" s="308"/>
      <c r="J24" s="308"/>
      <c r="K24" s="308"/>
      <c r="L24" s="308"/>
      <c r="M24" s="308"/>
      <c r="N24" s="308"/>
      <c r="O24" s="308"/>
      <c r="P24" s="308"/>
      <c r="Q24" s="308"/>
      <c r="R24" s="308"/>
      <c r="S24" s="308"/>
      <c r="T24" s="308"/>
    </row>
    <row r="25" spans="1:20" x14ac:dyDescent="0.25">
      <c r="A25" s="308"/>
      <c r="B25" s="308"/>
      <c r="C25" s="308"/>
      <c r="D25" s="308"/>
      <c r="E25" s="308"/>
      <c r="F25" s="308"/>
      <c r="G25" s="308"/>
      <c r="H25" s="308"/>
      <c r="I25" s="308"/>
      <c r="J25" s="308"/>
      <c r="K25" s="308"/>
      <c r="L25" s="308"/>
      <c r="M25" s="308"/>
      <c r="N25" s="308"/>
      <c r="O25" s="308"/>
      <c r="P25" s="308"/>
      <c r="Q25" s="308"/>
      <c r="R25" s="308"/>
      <c r="S25" s="308"/>
      <c r="T25" s="308"/>
    </row>
    <row r="26" spans="1:20" x14ac:dyDescent="0.25">
      <c r="A26" s="308"/>
      <c r="B26" s="308"/>
      <c r="C26" s="308"/>
      <c r="D26" s="308"/>
      <c r="E26" s="308"/>
      <c r="F26" s="308"/>
      <c r="G26" s="308"/>
      <c r="H26" s="308"/>
      <c r="I26" s="308"/>
      <c r="J26" s="308"/>
      <c r="K26" s="308"/>
      <c r="L26" s="308"/>
      <c r="M26" s="308"/>
      <c r="N26" s="308"/>
      <c r="O26" s="308"/>
      <c r="P26" s="308"/>
      <c r="Q26" s="308"/>
      <c r="R26" s="308"/>
      <c r="S26" s="308"/>
      <c r="T26" s="308"/>
    </row>
    <row r="27" spans="1:20" x14ac:dyDescent="0.25">
      <c r="A27" s="308"/>
      <c r="B27" s="308"/>
      <c r="C27" s="308"/>
      <c r="D27" s="308"/>
      <c r="E27" s="308"/>
      <c r="F27" s="308"/>
      <c r="G27" s="308"/>
      <c r="H27" s="308"/>
      <c r="I27" s="308"/>
      <c r="J27" s="308"/>
      <c r="K27" s="308"/>
      <c r="L27" s="308"/>
      <c r="M27" s="308"/>
      <c r="N27" s="308"/>
      <c r="O27" s="308"/>
      <c r="P27" s="308"/>
      <c r="Q27" s="308"/>
      <c r="R27" s="308"/>
      <c r="S27" s="308"/>
      <c r="T27" s="308"/>
    </row>
    <row r="28" spans="1:20" x14ac:dyDescent="0.25">
      <c r="A28" s="308"/>
      <c r="B28" s="308"/>
      <c r="C28" s="308"/>
      <c r="D28" s="308"/>
      <c r="E28" s="308"/>
      <c r="F28" s="308"/>
      <c r="G28" s="308"/>
      <c r="H28" s="308"/>
      <c r="I28" s="308"/>
      <c r="J28" s="308"/>
      <c r="K28" s="308"/>
      <c r="L28" s="308"/>
      <c r="M28" s="308"/>
      <c r="N28" s="308"/>
      <c r="O28" s="308"/>
      <c r="P28" s="308"/>
      <c r="Q28" s="308"/>
      <c r="R28" s="308"/>
      <c r="S28" s="308"/>
      <c r="T28" s="308"/>
    </row>
    <row r="29" spans="1:20" x14ac:dyDescent="0.25">
      <c r="A29" s="308"/>
      <c r="B29" s="308"/>
      <c r="C29" s="308"/>
      <c r="D29" s="308"/>
      <c r="E29" s="308"/>
      <c r="F29" s="308"/>
      <c r="G29" s="308"/>
      <c r="H29" s="308"/>
      <c r="I29" s="308"/>
      <c r="J29" s="308"/>
      <c r="K29" s="308"/>
      <c r="L29" s="308"/>
      <c r="M29" s="308"/>
      <c r="N29" s="308"/>
      <c r="O29" s="308"/>
      <c r="P29" s="308"/>
      <c r="Q29" s="308"/>
      <c r="R29" s="308"/>
      <c r="S29" s="308"/>
      <c r="T29" s="308"/>
    </row>
    <row r="30" spans="1:20" x14ac:dyDescent="0.25">
      <c r="A30" s="308"/>
      <c r="B30" s="308"/>
      <c r="C30" s="308"/>
      <c r="D30" s="308"/>
      <c r="E30" s="308"/>
      <c r="F30" s="308"/>
      <c r="G30" s="308"/>
      <c r="H30" s="308"/>
      <c r="I30" s="308"/>
      <c r="J30" s="308"/>
      <c r="K30" s="308"/>
      <c r="L30" s="308"/>
      <c r="M30" s="308"/>
      <c r="N30" s="308"/>
      <c r="O30" s="308"/>
      <c r="P30" s="308"/>
      <c r="Q30" s="308"/>
      <c r="R30" s="308"/>
      <c r="S30" s="308"/>
      <c r="T30" s="308"/>
    </row>
    <row r="31" spans="1:20" x14ac:dyDescent="0.25">
      <c r="A31" s="308"/>
      <c r="B31" s="308"/>
      <c r="C31" s="308"/>
      <c r="D31" s="308"/>
      <c r="E31" s="308"/>
      <c r="F31" s="308"/>
      <c r="G31" s="308"/>
      <c r="H31" s="308"/>
      <c r="I31" s="308"/>
      <c r="J31" s="308"/>
      <c r="K31" s="308"/>
      <c r="L31" s="308"/>
      <c r="M31" s="308"/>
      <c r="N31" s="308"/>
      <c r="O31" s="308"/>
      <c r="P31" s="308"/>
      <c r="Q31" s="308"/>
      <c r="R31" s="308"/>
      <c r="S31" s="308"/>
      <c r="T31" s="308"/>
    </row>
    <row r="32" spans="1:20" x14ac:dyDescent="0.25">
      <c r="A32" s="308"/>
      <c r="B32" s="308"/>
      <c r="C32" s="308"/>
      <c r="D32" s="308"/>
      <c r="E32" s="308"/>
      <c r="F32" s="308"/>
      <c r="G32" s="308"/>
      <c r="H32" s="308"/>
      <c r="I32" s="308"/>
      <c r="J32" s="308"/>
      <c r="K32" s="308"/>
      <c r="L32" s="308"/>
      <c r="M32" s="308"/>
      <c r="N32" s="308"/>
      <c r="O32" s="308"/>
      <c r="P32" s="308"/>
      <c r="Q32" s="308"/>
      <c r="R32" s="308"/>
      <c r="S32" s="308"/>
      <c r="T32" s="308"/>
    </row>
    <row r="33" spans="1:20" x14ac:dyDescent="0.25">
      <c r="A33" s="308"/>
      <c r="B33" s="308"/>
      <c r="C33" s="308"/>
      <c r="D33" s="308"/>
      <c r="E33" s="308"/>
      <c r="F33" s="308"/>
      <c r="G33" s="308"/>
      <c r="H33" s="308"/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</row>
    <row r="34" spans="1:20" x14ac:dyDescent="0.25">
      <c r="A34" s="308"/>
      <c r="B34" s="308"/>
      <c r="C34" s="308"/>
      <c r="D34" s="308"/>
      <c r="E34" s="308"/>
      <c r="F34" s="308"/>
      <c r="G34" s="308"/>
      <c r="H34" s="308"/>
      <c r="I34" s="308"/>
      <c r="J34" s="308"/>
      <c r="K34" s="308"/>
      <c r="L34" s="308"/>
      <c r="M34" s="308"/>
      <c r="N34" s="308"/>
      <c r="O34" s="308"/>
      <c r="P34" s="308"/>
      <c r="Q34" s="308"/>
      <c r="R34" s="308"/>
      <c r="S34" s="308"/>
      <c r="T34" s="308"/>
    </row>
    <row r="35" spans="1:20" x14ac:dyDescent="0.25">
      <c r="A35" s="308"/>
      <c r="B35" s="308"/>
      <c r="C35" s="308"/>
      <c r="D35" s="308"/>
      <c r="E35" s="308"/>
      <c r="F35" s="308"/>
      <c r="G35" s="308"/>
      <c r="H35" s="308"/>
      <c r="I35" s="308"/>
      <c r="J35" s="308"/>
      <c r="K35" s="308"/>
      <c r="L35" s="308"/>
      <c r="M35" s="308"/>
      <c r="N35" s="308"/>
      <c r="O35" s="308"/>
      <c r="P35" s="308"/>
      <c r="Q35" s="308"/>
      <c r="R35" s="308"/>
      <c r="S35" s="308"/>
      <c r="T35" s="308"/>
    </row>
    <row r="36" spans="1:20" x14ac:dyDescent="0.25">
      <c r="A36" s="308"/>
      <c r="B36" s="308"/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8"/>
      <c r="N36" s="308"/>
      <c r="O36" s="308"/>
      <c r="P36" s="308"/>
      <c r="Q36" s="308"/>
      <c r="R36" s="308"/>
      <c r="S36" s="308"/>
      <c r="T36" s="308"/>
    </row>
    <row r="37" spans="1:20" x14ac:dyDescent="0.25">
      <c r="A37" s="308"/>
      <c r="B37" s="308"/>
      <c r="C37" s="308"/>
      <c r="D37" s="308"/>
      <c r="E37" s="308"/>
      <c r="F37" s="308"/>
      <c r="G37" s="308"/>
      <c r="H37" s="308"/>
      <c r="I37" s="308"/>
      <c r="J37" s="308"/>
      <c r="K37" s="308"/>
      <c r="L37" s="308"/>
      <c r="M37" s="308"/>
      <c r="N37" s="308"/>
      <c r="O37" s="308"/>
      <c r="P37" s="308"/>
      <c r="Q37" s="308"/>
      <c r="R37" s="308"/>
      <c r="S37" s="308"/>
      <c r="T37" s="308"/>
    </row>
    <row r="38" spans="1:20" x14ac:dyDescent="0.25">
      <c r="A38" s="308"/>
      <c r="B38" s="308"/>
      <c r="C38" s="308"/>
      <c r="D38" s="308"/>
      <c r="E38" s="308"/>
      <c r="F38" s="308"/>
      <c r="G38" s="308"/>
      <c r="H38" s="308"/>
      <c r="I38" s="308"/>
      <c r="J38" s="308"/>
      <c r="K38" s="308"/>
      <c r="L38" s="308"/>
      <c r="M38" s="308"/>
      <c r="N38" s="308"/>
      <c r="O38" s="308"/>
      <c r="P38" s="308"/>
      <c r="Q38" s="308"/>
      <c r="R38" s="308"/>
      <c r="S38" s="308"/>
      <c r="T38" s="308"/>
    </row>
    <row r="39" spans="1:20" x14ac:dyDescent="0.25">
      <c r="A39" s="308"/>
      <c r="B39" s="308"/>
      <c r="C39" s="308"/>
      <c r="D39" s="308"/>
      <c r="E39" s="308"/>
      <c r="F39" s="308"/>
      <c r="G39" s="308"/>
      <c r="H39" s="308"/>
      <c r="I39" s="308"/>
      <c r="J39" s="308"/>
      <c r="K39" s="308"/>
      <c r="L39" s="308"/>
      <c r="M39" s="308"/>
      <c r="N39" s="308"/>
      <c r="O39" s="308"/>
      <c r="P39" s="308"/>
      <c r="Q39" s="308"/>
      <c r="R39" s="308"/>
      <c r="S39" s="308"/>
      <c r="T39" s="308"/>
    </row>
    <row r="40" spans="1:20" x14ac:dyDescent="0.25">
      <c r="A40" s="308"/>
      <c r="B40" s="308"/>
      <c r="C40" s="308"/>
      <c r="D40" s="308"/>
      <c r="E40" s="308"/>
      <c r="F40" s="308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</row>
    <row r="41" spans="1:20" x14ac:dyDescent="0.25">
      <c r="A41" s="308"/>
      <c r="B41" s="308"/>
      <c r="C41" s="308"/>
      <c r="D41" s="308"/>
      <c r="E41" s="308"/>
      <c r="F41" s="308"/>
      <c r="G41" s="308"/>
      <c r="H41" s="308"/>
      <c r="I41" s="308"/>
      <c r="J41" s="308"/>
      <c r="K41" s="308"/>
      <c r="L41" s="308"/>
      <c r="M41" s="308"/>
      <c r="N41" s="308"/>
      <c r="O41" s="308"/>
      <c r="P41" s="308"/>
      <c r="Q41" s="308"/>
      <c r="R41" s="308"/>
      <c r="S41" s="308"/>
      <c r="T41" s="308"/>
    </row>
    <row r="42" spans="1:20" x14ac:dyDescent="0.25">
      <c r="A42" s="308"/>
      <c r="B42" s="308"/>
      <c r="C42" s="308"/>
      <c r="D42" s="308"/>
      <c r="E42" s="308"/>
      <c r="F42" s="308"/>
      <c r="G42" s="308"/>
      <c r="H42" s="308"/>
      <c r="I42" s="308"/>
      <c r="J42" s="308"/>
      <c r="K42" s="308"/>
      <c r="L42" s="308"/>
      <c r="M42" s="308"/>
      <c r="N42" s="308"/>
      <c r="O42" s="308"/>
      <c r="P42" s="308"/>
      <c r="Q42" s="308"/>
      <c r="R42" s="308"/>
      <c r="S42" s="308"/>
      <c r="T42" s="308"/>
    </row>
    <row r="43" spans="1:20" x14ac:dyDescent="0.25">
      <c r="A43" s="308"/>
      <c r="B43" s="308"/>
      <c r="C43" s="308"/>
      <c r="D43" s="308"/>
      <c r="E43" s="308"/>
      <c r="F43" s="308"/>
      <c r="G43" s="308"/>
      <c r="H43" s="308"/>
      <c r="I43" s="308"/>
      <c r="J43" s="308"/>
      <c r="K43" s="308"/>
      <c r="L43" s="308"/>
      <c r="M43" s="308"/>
      <c r="N43" s="308"/>
      <c r="O43" s="308"/>
      <c r="P43" s="308"/>
      <c r="Q43" s="308"/>
      <c r="R43" s="308"/>
      <c r="S43" s="308"/>
      <c r="T43" s="308"/>
    </row>
    <row r="44" spans="1:20" x14ac:dyDescent="0.25">
      <c r="A44" s="308"/>
      <c r="B44" s="308"/>
      <c r="C44" s="308"/>
      <c r="D44" s="308"/>
      <c r="E44" s="308"/>
      <c r="F44" s="308"/>
      <c r="G44" s="308"/>
      <c r="H44" s="308"/>
      <c r="I44" s="308"/>
      <c r="J44" s="308"/>
      <c r="K44" s="308"/>
      <c r="L44" s="308"/>
      <c r="M44" s="308"/>
      <c r="N44" s="308"/>
      <c r="O44" s="308"/>
      <c r="P44" s="308"/>
      <c r="Q44" s="308"/>
      <c r="R44" s="308"/>
      <c r="S44" s="308"/>
      <c r="T44" s="308"/>
    </row>
    <row r="45" spans="1:20" x14ac:dyDescent="0.25">
      <c r="A45" s="308"/>
      <c r="B45" s="308"/>
      <c r="C45" s="308"/>
      <c r="D45" s="308"/>
      <c r="E45" s="308"/>
      <c r="F45" s="308"/>
      <c r="G45" s="308"/>
      <c r="H45" s="308"/>
      <c r="I45" s="308"/>
      <c r="J45" s="308"/>
      <c r="K45" s="308"/>
      <c r="L45" s="308"/>
      <c r="M45" s="308"/>
      <c r="N45" s="308"/>
      <c r="O45" s="308"/>
      <c r="P45" s="308"/>
      <c r="Q45" s="308"/>
      <c r="R45" s="308"/>
      <c r="S45" s="308"/>
      <c r="T45" s="308"/>
    </row>
    <row r="46" spans="1:20" x14ac:dyDescent="0.25">
      <c r="A46" s="308"/>
      <c r="B46" s="308"/>
      <c r="C46" s="308"/>
      <c r="D46" s="308"/>
      <c r="E46" s="308"/>
      <c r="F46" s="308"/>
      <c r="G46" s="308"/>
      <c r="H46" s="308"/>
      <c r="I46" s="308"/>
      <c r="J46" s="308"/>
      <c r="K46" s="308"/>
      <c r="L46" s="308"/>
      <c r="M46" s="308"/>
      <c r="N46" s="308"/>
      <c r="O46" s="308"/>
      <c r="P46" s="308"/>
      <c r="Q46" s="308"/>
      <c r="R46" s="308"/>
      <c r="S46" s="308"/>
      <c r="T46" s="308"/>
    </row>
    <row r="47" spans="1:20" x14ac:dyDescent="0.25">
      <c r="A47" s="308"/>
      <c r="B47" s="308"/>
      <c r="C47" s="308"/>
      <c r="D47" s="308"/>
      <c r="E47" s="308"/>
      <c r="F47" s="308"/>
      <c r="G47" s="308"/>
      <c r="H47" s="308"/>
      <c r="I47" s="308"/>
      <c r="J47" s="308"/>
      <c r="K47" s="308"/>
      <c r="L47" s="308"/>
      <c r="M47" s="308"/>
      <c r="N47" s="308"/>
      <c r="O47" s="308"/>
      <c r="P47" s="308"/>
      <c r="Q47" s="308"/>
      <c r="R47" s="308"/>
      <c r="S47" s="308"/>
      <c r="T47" s="308"/>
    </row>
    <row r="48" spans="1:20" ht="15.75" x14ac:dyDescent="0.25">
      <c r="A48" s="233"/>
      <c r="B48" s="59"/>
      <c r="C48" s="60">
        <f>SUM(C5:C47)</f>
        <v>0</v>
      </c>
      <c r="D48" s="60"/>
      <c r="E48" s="60"/>
      <c r="F48" s="60">
        <f>SUM(F5:F47)</f>
        <v>0</v>
      </c>
      <c r="G48" s="60"/>
      <c r="H48" s="60"/>
      <c r="I48" s="61">
        <f>SUM(I4:I47)</f>
        <v>0</v>
      </c>
      <c r="J48" s="60"/>
      <c r="K48" s="60"/>
      <c r="L48" s="60">
        <f>SUM(L5:L47)</f>
        <v>0</v>
      </c>
      <c r="M48" s="60"/>
      <c r="N48" s="60"/>
      <c r="O48" s="60">
        <v>0</v>
      </c>
      <c r="P48" s="60"/>
      <c r="Q48" s="60"/>
      <c r="R48" s="62"/>
      <c r="S48" s="63">
        <f>SUM(S5:S47)</f>
        <v>0</v>
      </c>
      <c r="T48" s="63">
        <f>SUM(T5:T47)</f>
        <v>0</v>
      </c>
    </row>
    <row r="49" spans="1:20" ht="15.75" x14ac:dyDescent="0.25">
      <c r="A49" s="60"/>
      <c r="B49" s="64" t="s">
        <v>57</v>
      </c>
      <c r="C49" s="65"/>
      <c r="D49" s="1"/>
      <c r="E49" s="1"/>
      <c r="F49" s="65"/>
      <c r="G49" s="1"/>
      <c r="H49" s="1"/>
      <c r="I49" s="65"/>
      <c r="J49" s="1"/>
      <c r="K49" s="1"/>
      <c r="L49" s="65"/>
      <c r="M49" s="1"/>
      <c r="N49" s="59"/>
      <c r="O49" s="65"/>
      <c r="P49" s="1"/>
      <c r="Q49" s="1"/>
      <c r="R49" s="1"/>
      <c r="S49" s="66"/>
      <c r="T49" s="66"/>
    </row>
    <row r="50" spans="1:20" ht="15.75" x14ac:dyDescent="0.25">
      <c r="A50" s="60"/>
      <c r="B50" s="67" t="s">
        <v>58</v>
      </c>
      <c r="C50" s="65"/>
      <c r="D50" s="1"/>
      <c r="E50" s="67"/>
      <c r="F50" s="65"/>
      <c r="G50" s="1"/>
      <c r="H50" s="1"/>
      <c r="I50" s="65"/>
      <c r="J50" s="1"/>
      <c r="K50" s="1"/>
      <c r="L50" s="65"/>
      <c r="M50" s="234" t="s">
        <v>59</v>
      </c>
      <c r="N50" s="234"/>
      <c r="O50" s="234"/>
      <c r="P50" s="234"/>
      <c r="Q50" s="234"/>
      <c r="R50" s="234"/>
      <c r="S50" s="1"/>
      <c r="T50" s="1"/>
    </row>
  </sheetData>
  <mergeCells count="13">
    <mergeCell ref="S3:S4"/>
    <mergeCell ref="T3:T4"/>
    <mergeCell ref="A1:B1"/>
    <mergeCell ref="A2:B2"/>
    <mergeCell ref="A3:A4"/>
    <mergeCell ref="B3:B4"/>
    <mergeCell ref="C3:E3"/>
    <mergeCell ref="F3:H3"/>
    <mergeCell ref="M50:R50"/>
    <mergeCell ref="I3:K3"/>
    <mergeCell ref="L3:N3"/>
    <mergeCell ref="O3:Q3"/>
    <mergeCell ref="R3:R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4205E-F6E8-479F-89B1-F59FE74C7773}">
  <dimension ref="A1:O81"/>
  <sheetViews>
    <sheetView zoomScale="80" zoomScaleNormal="80" workbookViewId="0">
      <selection activeCell="E76" sqref="E76"/>
    </sheetView>
  </sheetViews>
  <sheetFormatPr baseColWidth="10" defaultRowHeight="15" x14ac:dyDescent="0.25"/>
  <cols>
    <col min="1" max="1" width="12.85546875" customWidth="1"/>
    <col min="2" max="2" width="14.28515625" customWidth="1"/>
    <col min="3" max="3" width="27" customWidth="1"/>
    <col min="4" max="4" width="18.28515625" customWidth="1"/>
    <col min="5" max="5" width="14.140625" customWidth="1"/>
    <col min="6" max="6" width="15.28515625" customWidth="1"/>
    <col min="7" max="7" width="27.42578125" customWidth="1"/>
    <col min="8" max="8" width="11.42578125" customWidth="1"/>
    <col min="9" max="9" width="11.7109375" customWidth="1"/>
    <col min="10" max="10" width="14.85546875" customWidth="1"/>
    <col min="11" max="11" width="36.5703125" customWidth="1"/>
    <col min="12" max="12" width="8.85546875" customWidth="1"/>
    <col min="13" max="13" width="10.42578125" customWidth="1"/>
    <col min="14" max="14" width="18" customWidth="1"/>
    <col min="15" max="15" width="33" customWidth="1"/>
  </cols>
  <sheetData>
    <row r="1" spans="1:15" ht="15.75" thickBot="1" x14ac:dyDescent="0.3"/>
    <row r="2" spans="1:15" x14ac:dyDescent="0.25">
      <c r="B2" s="268" t="s">
        <v>101</v>
      </c>
      <c r="C2" s="269"/>
      <c r="D2" s="269"/>
      <c r="E2" s="269"/>
      <c r="F2" s="269"/>
      <c r="G2" s="269"/>
      <c r="H2" s="270"/>
    </row>
    <row r="3" spans="1:15" ht="16.5" customHeight="1" thickBot="1" x14ac:dyDescent="0.3">
      <c r="B3" s="271"/>
      <c r="C3" s="272"/>
      <c r="D3" s="272"/>
      <c r="E3" s="272"/>
      <c r="F3" s="272"/>
      <c r="G3" s="272"/>
      <c r="H3" s="273"/>
    </row>
    <row r="5" spans="1:15" ht="20.25" hidden="1" x14ac:dyDescent="0.25">
      <c r="A5" s="68" t="s">
        <v>60</v>
      </c>
    </row>
    <row r="6" spans="1:15" ht="21.75" hidden="1" thickBot="1" x14ac:dyDescent="0.3">
      <c r="A6" s="69"/>
      <c r="B6" s="70"/>
      <c r="C6" s="71"/>
      <c r="D6" s="70"/>
      <c r="E6" s="70"/>
      <c r="F6" s="70"/>
      <c r="G6" s="70"/>
      <c r="H6" s="70"/>
    </row>
    <row r="7" spans="1:15" ht="16.5" hidden="1" customHeight="1" x14ac:dyDescent="0.25">
      <c r="A7" s="69"/>
      <c r="B7" s="274" t="s">
        <v>61</v>
      </c>
      <c r="C7" s="276" t="s">
        <v>62</v>
      </c>
      <c r="D7" s="278" t="s">
        <v>63</v>
      </c>
      <c r="E7" s="279"/>
      <c r="F7" s="280"/>
      <c r="G7" s="276" t="s">
        <v>64</v>
      </c>
    </row>
    <row r="8" spans="1:15" ht="18" hidden="1" customHeight="1" thickBot="1" x14ac:dyDescent="0.3">
      <c r="A8" s="69"/>
      <c r="B8" s="275"/>
      <c r="C8" s="277"/>
      <c r="D8" s="72" t="s">
        <v>65</v>
      </c>
      <c r="E8" s="73" t="s">
        <v>66</v>
      </c>
      <c r="F8" s="74" t="s">
        <v>67</v>
      </c>
      <c r="G8" s="281"/>
    </row>
    <row r="9" spans="1:15" ht="19.5" hidden="1" customHeight="1" thickBot="1" x14ac:dyDescent="0.3">
      <c r="A9" s="68"/>
      <c r="B9" s="75"/>
      <c r="C9" s="75"/>
      <c r="D9" s="76"/>
      <c r="E9" s="76"/>
      <c r="F9" s="76"/>
      <c r="G9" s="77"/>
      <c r="I9" s="68"/>
      <c r="J9" s="68"/>
      <c r="K9" s="68"/>
      <c r="L9" s="68"/>
      <c r="M9" s="68"/>
      <c r="N9" s="68"/>
    </row>
    <row r="10" spans="1:15" ht="19.5" hidden="1" customHeight="1" x14ac:dyDescent="0.25">
      <c r="J10" s="68"/>
      <c r="K10" s="68"/>
      <c r="L10" s="68"/>
      <c r="M10" s="68"/>
      <c r="N10" s="68"/>
      <c r="O10" s="68"/>
    </row>
    <row r="11" spans="1:15" ht="19.5" hidden="1" customHeight="1" x14ac:dyDescent="0.25">
      <c r="J11" s="68"/>
      <c r="K11" s="68"/>
      <c r="L11" s="68"/>
      <c r="M11" s="68"/>
      <c r="N11" s="68"/>
      <c r="O11" s="68"/>
    </row>
    <row r="12" spans="1:15" ht="19.5" hidden="1" customHeight="1" x14ac:dyDescent="0.25">
      <c r="J12" s="68"/>
      <c r="K12" s="68"/>
      <c r="L12" s="68"/>
      <c r="M12" s="68"/>
      <c r="N12" s="68"/>
      <c r="O12" s="68"/>
    </row>
    <row r="13" spans="1:15" ht="19.5" hidden="1" customHeight="1" x14ac:dyDescent="0.25">
      <c r="J13" s="68"/>
      <c r="K13" s="68"/>
      <c r="L13" s="68"/>
      <c r="M13" s="68"/>
      <c r="N13" s="68"/>
      <c r="O13" s="68"/>
    </row>
    <row r="14" spans="1:15" ht="19.5" hidden="1" customHeight="1" x14ac:dyDescent="0.25">
      <c r="J14" s="68"/>
      <c r="K14" s="68"/>
      <c r="L14" s="68"/>
      <c r="M14" s="68"/>
      <c r="N14" s="68"/>
      <c r="O14" s="68"/>
    </row>
    <row r="15" spans="1:15" ht="19.5" hidden="1" customHeight="1" x14ac:dyDescent="0.25">
      <c r="A15" s="68" t="s">
        <v>68</v>
      </c>
      <c r="B15" s="68"/>
      <c r="C15" s="68"/>
      <c r="D15" s="68"/>
      <c r="J15" s="68"/>
      <c r="K15" s="68"/>
      <c r="L15" s="68"/>
      <c r="M15" s="68"/>
      <c r="N15" s="68"/>
      <c r="O15" s="68"/>
    </row>
    <row r="16" spans="1:15" ht="19.5" hidden="1" customHeight="1" thickBot="1" x14ac:dyDescent="0.3">
      <c r="A16" s="68"/>
      <c r="B16" s="68"/>
      <c r="C16" s="68"/>
      <c r="D16" s="68"/>
      <c r="J16" s="68"/>
      <c r="K16" s="68"/>
      <c r="L16" s="68"/>
      <c r="M16" s="68"/>
      <c r="N16" s="68"/>
      <c r="O16" s="68"/>
    </row>
    <row r="17" spans="1:15" ht="21.75" hidden="1" customHeight="1" thickBot="1" x14ac:dyDescent="0.4">
      <c r="A17" s="78"/>
      <c r="B17" s="261" t="s">
        <v>61</v>
      </c>
      <c r="C17" s="263" t="s">
        <v>62</v>
      </c>
      <c r="D17" s="265" t="s">
        <v>63</v>
      </c>
      <c r="E17" s="266"/>
      <c r="F17" s="267"/>
      <c r="G17" s="261" t="s">
        <v>64</v>
      </c>
      <c r="H17" s="59"/>
      <c r="I17" s="59"/>
      <c r="J17" s="59"/>
      <c r="K17" s="59"/>
      <c r="L17" s="59"/>
      <c r="M17" s="59"/>
      <c r="N17" s="59"/>
    </row>
    <row r="18" spans="1:15" ht="19.5" hidden="1" customHeight="1" x14ac:dyDescent="0.35">
      <c r="A18" s="78"/>
      <c r="B18" s="262"/>
      <c r="C18" s="264"/>
      <c r="D18" s="79" t="s">
        <v>65</v>
      </c>
      <c r="E18" s="80" t="s">
        <v>66</v>
      </c>
      <c r="F18" s="81" t="s">
        <v>67</v>
      </c>
      <c r="G18" s="262"/>
      <c r="H18" s="59"/>
      <c r="I18" s="59"/>
      <c r="J18" s="59"/>
      <c r="K18" s="59"/>
      <c r="L18" s="59"/>
      <c r="M18" s="59"/>
      <c r="N18" s="59"/>
    </row>
    <row r="19" spans="1:15" ht="19.5" hidden="1" customHeight="1" x14ac:dyDescent="0.35">
      <c r="A19" s="78"/>
      <c r="B19" s="284"/>
      <c r="C19" s="284"/>
      <c r="D19" s="82"/>
      <c r="E19" s="82"/>
      <c r="F19" s="82"/>
      <c r="G19" s="83"/>
      <c r="H19" s="59"/>
      <c r="I19" s="59"/>
      <c r="J19" s="59"/>
      <c r="K19" s="59"/>
      <c r="L19" s="59"/>
      <c r="M19" s="59"/>
      <c r="N19" s="59"/>
    </row>
    <row r="20" spans="1:15" ht="19.5" hidden="1" customHeight="1" x14ac:dyDescent="0.35">
      <c r="A20" s="78"/>
      <c r="B20" s="284"/>
      <c r="C20" s="284"/>
      <c r="D20" s="82"/>
      <c r="E20" s="82"/>
      <c r="F20" s="82"/>
      <c r="G20" s="83"/>
      <c r="H20" s="59"/>
      <c r="I20" s="59"/>
      <c r="J20" s="59"/>
      <c r="K20" s="59"/>
      <c r="L20" s="59"/>
      <c r="M20" s="59"/>
      <c r="N20" s="59"/>
    </row>
    <row r="21" spans="1:15" ht="19.5" hidden="1" customHeight="1" x14ac:dyDescent="0.35">
      <c r="A21" s="78"/>
      <c r="B21" s="284"/>
      <c r="C21" s="284"/>
      <c r="D21" s="82"/>
      <c r="E21" s="82"/>
      <c r="F21" s="82"/>
      <c r="G21" s="83"/>
      <c r="H21" s="59"/>
      <c r="I21" s="59"/>
      <c r="J21" s="59"/>
      <c r="K21" s="59"/>
      <c r="L21" s="59"/>
      <c r="M21" s="59"/>
      <c r="N21" s="59"/>
    </row>
    <row r="22" spans="1:15" ht="19.5" hidden="1" customHeight="1" x14ac:dyDescent="0.35">
      <c r="A22" s="78"/>
      <c r="B22" s="84"/>
      <c r="C22" s="84"/>
      <c r="D22" s="85"/>
      <c r="E22" s="85"/>
      <c r="F22" s="85"/>
      <c r="G22" s="85"/>
      <c r="H22" s="78"/>
      <c r="I22" s="59"/>
      <c r="J22" s="59"/>
      <c r="K22" s="59"/>
      <c r="L22" s="59"/>
      <c r="M22" s="59"/>
      <c r="N22" s="59"/>
      <c r="O22" s="59"/>
    </row>
    <row r="23" spans="1:15" ht="21" hidden="1" customHeight="1" thickBot="1" x14ac:dyDescent="0.3">
      <c r="A23" s="68" t="s">
        <v>69</v>
      </c>
      <c r="H23" s="70"/>
    </row>
    <row r="24" spans="1:15" ht="33" hidden="1" customHeight="1" thickBot="1" x14ac:dyDescent="0.4">
      <c r="A24" s="78"/>
      <c r="B24" s="81" t="s">
        <v>70</v>
      </c>
      <c r="C24" s="86" t="s">
        <v>62</v>
      </c>
      <c r="D24" s="81" t="s">
        <v>61</v>
      </c>
      <c r="E24" s="81" t="s">
        <v>71</v>
      </c>
      <c r="F24" s="86" t="s">
        <v>72</v>
      </c>
      <c r="G24" s="81" t="s">
        <v>73</v>
      </c>
      <c r="H24" s="87"/>
      <c r="I24" s="59"/>
      <c r="J24" s="59"/>
      <c r="K24" s="59"/>
      <c r="L24" s="59"/>
      <c r="M24" s="59"/>
      <c r="N24" s="59"/>
    </row>
    <row r="25" spans="1:15" ht="36" hidden="1" customHeight="1" thickBot="1" x14ac:dyDescent="0.4">
      <c r="A25" s="78"/>
      <c r="B25" s="75" t="s">
        <v>138</v>
      </c>
      <c r="C25" s="75" t="s">
        <v>45</v>
      </c>
      <c r="D25" s="88">
        <v>2426</v>
      </c>
      <c r="E25" s="76">
        <v>46089</v>
      </c>
      <c r="F25" s="75" t="s">
        <v>74</v>
      </c>
      <c r="G25" s="89" t="s">
        <v>140</v>
      </c>
      <c r="H25" s="87"/>
      <c r="I25" s="59"/>
      <c r="J25" s="59"/>
      <c r="K25" s="59"/>
      <c r="L25" s="59"/>
      <c r="M25" s="59"/>
      <c r="N25" s="59"/>
    </row>
    <row r="26" spans="1:15" ht="37.5" hidden="1" customHeight="1" thickBot="1" x14ac:dyDescent="0.4">
      <c r="A26" s="78"/>
      <c r="B26" s="75" t="s">
        <v>138</v>
      </c>
      <c r="C26" s="75" t="s">
        <v>128</v>
      </c>
      <c r="D26" s="88">
        <v>7994</v>
      </c>
      <c r="E26" s="76">
        <v>46101</v>
      </c>
      <c r="F26" s="75" t="s">
        <v>74</v>
      </c>
      <c r="G26" s="89" t="s">
        <v>141</v>
      </c>
      <c r="H26" s="87"/>
      <c r="I26" s="59"/>
      <c r="J26" s="59"/>
      <c r="K26" s="59"/>
      <c r="L26" s="59"/>
      <c r="M26" s="59"/>
      <c r="N26" s="59"/>
    </row>
    <row r="27" spans="1:15" ht="36.75" hidden="1" customHeight="1" thickBot="1" x14ac:dyDescent="0.4">
      <c r="A27" s="78"/>
      <c r="B27" s="75" t="s">
        <v>142</v>
      </c>
      <c r="C27" s="75" t="s">
        <v>48</v>
      </c>
      <c r="D27" s="88">
        <v>7793</v>
      </c>
      <c r="E27" s="76">
        <v>46029</v>
      </c>
      <c r="F27" s="75" t="s">
        <v>74</v>
      </c>
      <c r="G27" s="89">
        <v>7.5</v>
      </c>
      <c r="H27" s="87"/>
      <c r="I27" s="59"/>
      <c r="J27" s="59"/>
      <c r="K27" s="59"/>
      <c r="L27" s="59"/>
      <c r="M27" s="59"/>
      <c r="N27" s="59"/>
    </row>
    <row r="28" spans="1:15" ht="15" hidden="1" customHeight="1" x14ac:dyDescent="0.25">
      <c r="A28" s="70"/>
      <c r="B28" s="70"/>
      <c r="C28" s="71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</row>
    <row r="29" spans="1:15" ht="21" hidden="1" thickBot="1" x14ac:dyDescent="0.3">
      <c r="A29" s="68" t="s">
        <v>75</v>
      </c>
      <c r="J29" s="68"/>
      <c r="K29" s="68"/>
      <c r="L29" s="68"/>
      <c r="M29" s="68"/>
      <c r="N29" s="68"/>
      <c r="O29" s="68"/>
    </row>
    <row r="30" spans="1:15" ht="21.75" hidden="1" thickBot="1" x14ac:dyDescent="0.4">
      <c r="A30" s="78"/>
      <c r="B30" s="261" t="s">
        <v>61</v>
      </c>
      <c r="C30" s="263" t="s">
        <v>62</v>
      </c>
      <c r="D30" s="265" t="s">
        <v>63</v>
      </c>
      <c r="E30" s="266"/>
      <c r="F30" s="267"/>
      <c r="G30" s="261" t="s">
        <v>64</v>
      </c>
      <c r="H30" s="59"/>
      <c r="I30" s="59"/>
      <c r="J30" s="59"/>
      <c r="K30" s="59"/>
      <c r="L30" s="59"/>
      <c r="M30" s="59"/>
      <c r="N30" s="59"/>
    </row>
    <row r="31" spans="1:15" ht="21.75" hidden="1" thickBot="1" x14ac:dyDescent="0.4">
      <c r="A31" s="78"/>
      <c r="B31" s="282"/>
      <c r="C31" s="283"/>
      <c r="D31" s="79" t="s">
        <v>65</v>
      </c>
      <c r="E31" s="90" t="s">
        <v>66</v>
      </c>
      <c r="F31" s="91" t="s">
        <v>67</v>
      </c>
      <c r="G31" s="282"/>
      <c r="H31" s="59"/>
      <c r="I31" s="59"/>
      <c r="J31" s="59"/>
      <c r="K31" s="59"/>
      <c r="L31" s="59"/>
      <c r="M31" s="59"/>
      <c r="N31" s="59"/>
    </row>
    <row r="32" spans="1:15" ht="21.75" hidden="1" thickBot="1" x14ac:dyDescent="0.3">
      <c r="B32" s="92"/>
      <c r="C32" s="92"/>
      <c r="D32" s="93"/>
      <c r="E32" s="93"/>
      <c r="F32" s="94"/>
      <c r="G32" s="92"/>
    </row>
    <row r="33" spans="1:15" hidden="1" x14ac:dyDescent="0.25">
      <c r="A33" s="70"/>
      <c r="B33" s="70"/>
      <c r="C33" s="71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</row>
    <row r="34" spans="1:15" hidden="1" x14ac:dyDescent="0.25">
      <c r="A34" s="70"/>
      <c r="B34" s="70"/>
      <c r="C34" s="71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</row>
    <row r="35" spans="1:15" hidden="1" x14ac:dyDescent="0.25">
      <c r="A35" s="70"/>
      <c r="B35" s="70"/>
      <c r="C35" s="71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</row>
    <row r="36" spans="1:15" hidden="1" x14ac:dyDescent="0.25">
      <c r="A36" s="70"/>
      <c r="B36" s="70"/>
      <c r="C36" s="71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</row>
    <row r="37" spans="1:15" ht="23.25" customHeight="1" thickBot="1" x14ac:dyDescent="0.3">
      <c r="A37" s="95" t="s">
        <v>76</v>
      </c>
    </row>
    <row r="38" spans="1:15" ht="30" customHeight="1" thickBot="1" x14ac:dyDescent="0.3">
      <c r="B38" s="91" t="s">
        <v>70</v>
      </c>
      <c r="C38" s="96" t="s">
        <v>62</v>
      </c>
      <c r="D38" s="91" t="s">
        <v>61</v>
      </c>
      <c r="E38" s="97" t="s">
        <v>77</v>
      </c>
      <c r="F38" s="91" t="s">
        <v>72</v>
      </c>
      <c r="G38" s="97" t="s">
        <v>73</v>
      </c>
    </row>
    <row r="39" spans="1:15" ht="45" customHeight="1" thickBot="1" x14ac:dyDescent="0.3">
      <c r="B39" s="98" t="s">
        <v>143</v>
      </c>
      <c r="C39" s="99" t="s">
        <v>55</v>
      </c>
      <c r="D39" s="100">
        <v>113</v>
      </c>
      <c r="E39" s="99">
        <v>46114</v>
      </c>
      <c r="F39" s="99" t="s">
        <v>144</v>
      </c>
      <c r="G39" s="101">
        <v>0</v>
      </c>
    </row>
    <row r="40" spans="1:15" ht="15" hidden="1" customHeight="1" x14ac:dyDescent="0.25"/>
    <row r="41" spans="1:15" ht="18.75" hidden="1" customHeight="1" x14ac:dyDescent="0.25">
      <c r="A41" s="95" t="s">
        <v>78</v>
      </c>
      <c r="C41" s="102"/>
    </row>
    <row r="42" spans="1:15" ht="15.75" hidden="1" customHeight="1" thickBot="1" x14ac:dyDescent="0.3">
      <c r="C42" s="102"/>
    </row>
    <row r="43" spans="1:15" ht="50.25" hidden="1" customHeight="1" thickBot="1" x14ac:dyDescent="0.3">
      <c r="A43" s="103" t="s">
        <v>70</v>
      </c>
      <c r="B43" s="103" t="s">
        <v>61</v>
      </c>
      <c r="C43" s="103" t="s">
        <v>79</v>
      </c>
      <c r="D43" s="103" t="s">
        <v>80</v>
      </c>
      <c r="E43" s="103" t="s">
        <v>81</v>
      </c>
      <c r="F43" s="103" t="s">
        <v>82</v>
      </c>
      <c r="G43" s="103" t="s">
        <v>83</v>
      </c>
      <c r="H43" s="103" t="s">
        <v>85</v>
      </c>
      <c r="I43" s="103" t="s">
        <v>86</v>
      </c>
      <c r="J43" s="103" t="s">
        <v>87</v>
      </c>
      <c r="K43" s="103" t="s">
        <v>88</v>
      </c>
      <c r="L43" s="104" t="s">
        <v>89</v>
      </c>
      <c r="M43" s="104" t="s">
        <v>90</v>
      </c>
      <c r="N43" s="105" t="s">
        <v>91</v>
      </c>
      <c r="O43" s="106" t="s">
        <v>92</v>
      </c>
    </row>
    <row r="44" spans="1:15" ht="48" hidden="1" customHeight="1" thickBot="1" x14ac:dyDescent="0.3">
      <c r="A44" s="113" t="s">
        <v>130</v>
      </c>
      <c r="B44" s="107"/>
      <c r="C44" s="107" t="s">
        <v>128</v>
      </c>
      <c r="D44" s="107" t="s">
        <v>126</v>
      </c>
      <c r="E44" s="107" t="s">
        <v>127</v>
      </c>
      <c r="F44" s="111">
        <v>31882</v>
      </c>
      <c r="G44" s="108">
        <v>46043</v>
      </c>
      <c r="H44" s="171">
        <v>500</v>
      </c>
      <c r="I44" s="171">
        <v>5000</v>
      </c>
      <c r="J44" s="109">
        <v>130052600</v>
      </c>
      <c r="K44" s="172" t="s">
        <v>134</v>
      </c>
      <c r="L44" s="110" t="s">
        <v>129</v>
      </c>
      <c r="M44" s="110" t="s">
        <v>131</v>
      </c>
      <c r="N44" s="112" t="s">
        <v>132</v>
      </c>
      <c r="O44" s="110" t="s">
        <v>133</v>
      </c>
    </row>
    <row r="45" spans="1:15" ht="30" hidden="1" customHeight="1" x14ac:dyDescent="0.25">
      <c r="A45" s="114"/>
      <c r="B45" s="115"/>
      <c r="C45" s="116"/>
      <c r="D45" s="117"/>
      <c r="E45" s="117"/>
      <c r="F45" s="117"/>
      <c r="G45" s="118"/>
      <c r="H45" s="119"/>
      <c r="I45" s="119"/>
      <c r="J45" s="120"/>
      <c r="K45" s="121"/>
      <c r="L45" s="117"/>
      <c r="M45" s="117"/>
      <c r="N45" s="117"/>
      <c r="O45" s="117"/>
    </row>
    <row r="46" spans="1:15" ht="21" hidden="1" thickBot="1" x14ac:dyDescent="0.3">
      <c r="A46" s="68" t="s">
        <v>93</v>
      </c>
    </row>
    <row r="47" spans="1:15" ht="16.5" hidden="1" thickBot="1" x14ac:dyDescent="0.3">
      <c r="B47" s="80" t="s">
        <v>70</v>
      </c>
      <c r="C47" s="91" t="s">
        <v>62</v>
      </c>
      <c r="D47" s="122" t="s">
        <v>61</v>
      </c>
      <c r="E47" s="288" t="s">
        <v>72</v>
      </c>
      <c r="F47" s="266"/>
      <c r="G47" s="267"/>
    </row>
    <row r="48" spans="1:15" ht="25.5" hidden="1" customHeight="1" thickBot="1" x14ac:dyDescent="0.3">
      <c r="B48" s="98"/>
      <c r="C48" s="99"/>
      <c r="D48" s="101"/>
      <c r="E48" s="289"/>
      <c r="F48" s="290"/>
      <c r="G48" s="291"/>
    </row>
    <row r="49" spans="1:10" hidden="1" x14ac:dyDescent="0.25"/>
    <row r="50" spans="1:10" hidden="1" x14ac:dyDescent="0.25"/>
    <row r="51" spans="1:10" hidden="1" x14ac:dyDescent="0.25"/>
    <row r="52" spans="1:10" ht="21" x14ac:dyDescent="0.35">
      <c r="A52" s="68" t="s">
        <v>94</v>
      </c>
      <c r="B52" s="78"/>
      <c r="C52" s="292"/>
      <c r="D52" s="292"/>
    </row>
    <row r="53" spans="1:10" ht="15.75" thickBot="1" x14ac:dyDescent="0.3"/>
    <row r="54" spans="1:10" x14ac:dyDescent="0.25">
      <c r="B54" s="293" t="s">
        <v>61</v>
      </c>
      <c r="C54" s="295" t="s">
        <v>79</v>
      </c>
      <c r="D54" s="297" t="s">
        <v>95</v>
      </c>
      <c r="E54" s="298"/>
      <c r="F54" s="298"/>
      <c r="G54" s="299"/>
    </row>
    <row r="55" spans="1:10" ht="10.5" customHeight="1" thickBot="1" x14ac:dyDescent="0.3">
      <c r="B55" s="294"/>
      <c r="C55" s="296"/>
      <c r="D55" s="300"/>
      <c r="E55" s="301"/>
      <c r="F55" s="301"/>
      <c r="G55" s="302"/>
    </row>
    <row r="56" spans="1:10" ht="16.5" thickBot="1" x14ac:dyDescent="0.3">
      <c r="B56" s="98">
        <v>1665</v>
      </c>
      <c r="C56" s="99" t="s">
        <v>41</v>
      </c>
      <c r="D56" s="285" t="s">
        <v>145</v>
      </c>
      <c r="E56" s="286"/>
      <c r="F56" s="286"/>
      <c r="G56" s="287"/>
    </row>
    <row r="57" spans="1:10" ht="15.75" hidden="1" x14ac:dyDescent="0.25">
      <c r="B57" s="123"/>
      <c r="C57" s="124"/>
      <c r="D57" s="115"/>
      <c r="E57" s="115"/>
      <c r="F57" s="115"/>
      <c r="G57" s="115"/>
    </row>
    <row r="58" spans="1:10" ht="20.25" hidden="1" x14ac:dyDescent="0.25">
      <c r="A58" s="68" t="s">
        <v>96</v>
      </c>
    </row>
    <row r="59" spans="1:10" ht="15.75" hidden="1" thickBot="1" x14ac:dyDescent="0.3"/>
    <row r="60" spans="1:10" ht="30.75" hidden="1" thickBot="1" x14ac:dyDescent="0.3">
      <c r="B60" s="103" t="s">
        <v>70</v>
      </c>
      <c r="C60" s="103" t="s">
        <v>61</v>
      </c>
      <c r="D60" s="103" t="s">
        <v>79</v>
      </c>
      <c r="E60" s="103" t="s">
        <v>80</v>
      </c>
      <c r="F60" s="103"/>
      <c r="G60" s="103" t="s">
        <v>84</v>
      </c>
      <c r="H60" s="103" t="s">
        <v>86</v>
      </c>
      <c r="I60" s="104" t="s">
        <v>89</v>
      </c>
      <c r="J60" s="103" t="s">
        <v>97</v>
      </c>
    </row>
    <row r="61" spans="1:10" ht="19.5" hidden="1" thickBot="1" x14ac:dyDescent="0.3">
      <c r="B61" s="107"/>
      <c r="C61" s="107"/>
      <c r="D61" s="107"/>
      <c r="E61" s="107"/>
      <c r="F61" s="107"/>
      <c r="G61" s="109"/>
      <c r="H61" s="109"/>
      <c r="I61" s="109"/>
      <c r="J61" s="107"/>
    </row>
    <row r="62" spans="1:10" ht="19.5" hidden="1" thickBot="1" x14ac:dyDescent="0.3">
      <c r="B62" s="107"/>
      <c r="C62" s="107"/>
      <c r="D62" s="107"/>
      <c r="E62" s="107"/>
      <c r="F62" s="107"/>
      <c r="G62" s="107"/>
      <c r="H62" s="109"/>
      <c r="I62" s="109"/>
      <c r="J62" s="110"/>
    </row>
    <row r="63" spans="1:10" hidden="1" x14ac:dyDescent="0.25"/>
    <row r="64" spans="1:10" hidden="1" x14ac:dyDescent="0.25"/>
    <row r="65" spans="3:5" hidden="1" x14ac:dyDescent="0.25"/>
    <row r="66" spans="3:5" hidden="1" x14ac:dyDescent="0.25"/>
    <row r="67" spans="3:5" hidden="1" x14ac:dyDescent="0.25"/>
    <row r="69" spans="3:5" x14ac:dyDescent="0.25">
      <c r="E69" t="s">
        <v>98</v>
      </c>
    </row>
    <row r="70" spans="3:5" x14ac:dyDescent="0.25">
      <c r="C70" t="s">
        <v>99</v>
      </c>
    </row>
    <row r="81" spans="7:7" x14ac:dyDescent="0.25">
      <c r="G81" t="s">
        <v>100</v>
      </c>
    </row>
  </sheetData>
  <mergeCells count="22">
    <mergeCell ref="D56:G56"/>
    <mergeCell ref="E47:G47"/>
    <mergeCell ref="E48:G48"/>
    <mergeCell ref="C52:D52"/>
    <mergeCell ref="B54:B55"/>
    <mergeCell ref="C54:C55"/>
    <mergeCell ref="D54:G55"/>
    <mergeCell ref="B30:B31"/>
    <mergeCell ref="C30:C31"/>
    <mergeCell ref="D30:F30"/>
    <mergeCell ref="G30:G31"/>
    <mergeCell ref="B19:B21"/>
    <mergeCell ref="C19:C21"/>
    <mergeCell ref="B17:B18"/>
    <mergeCell ref="C17:C18"/>
    <mergeCell ref="D17:F17"/>
    <mergeCell ref="G17:G18"/>
    <mergeCell ref="B2:H3"/>
    <mergeCell ref="B7:B8"/>
    <mergeCell ref="C7:C8"/>
    <mergeCell ref="D7:F7"/>
    <mergeCell ref="G7:G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6970D-FBDF-4426-BA0E-00D501007965}">
  <dimension ref="A1:U45"/>
  <sheetViews>
    <sheetView zoomScale="77" zoomScaleNormal="77" workbookViewId="0">
      <selection activeCell="L24" sqref="L24"/>
    </sheetView>
  </sheetViews>
  <sheetFormatPr baseColWidth="10" defaultRowHeight="15" x14ac:dyDescent="0.25"/>
  <cols>
    <col min="2" max="2" width="30.140625" customWidth="1"/>
    <col min="3" max="3" width="19.7109375" customWidth="1"/>
    <col min="4" max="4" width="15.140625" customWidth="1"/>
    <col min="8" max="8" width="11.42578125" style="102"/>
    <col min="17" max="17" width="10.140625" customWidth="1"/>
    <col min="18" max="18" width="11.42578125" customWidth="1"/>
    <col min="19" max="19" width="12.85546875" customWidth="1"/>
    <col min="20" max="20" width="11.5703125" customWidth="1"/>
    <col min="21" max="21" width="9" customWidth="1"/>
  </cols>
  <sheetData>
    <row r="1" spans="1:21" ht="16.5" thickTop="1" thickBot="1" x14ac:dyDescent="0.3">
      <c r="A1" s="305" t="s">
        <v>2</v>
      </c>
      <c r="B1" s="305" t="s">
        <v>3</v>
      </c>
      <c r="C1" s="305" t="s">
        <v>102</v>
      </c>
      <c r="D1" s="125" t="s">
        <v>103</v>
      </c>
      <c r="E1" s="126" t="s">
        <v>104</v>
      </c>
      <c r="F1" s="127" t="s">
        <v>104</v>
      </c>
      <c r="G1" s="127" t="s">
        <v>104</v>
      </c>
      <c r="H1" s="231" t="s">
        <v>104</v>
      </c>
      <c r="I1" s="127" t="s">
        <v>104</v>
      </c>
      <c r="J1" s="127" t="s">
        <v>104</v>
      </c>
      <c r="K1" s="127" t="s">
        <v>104</v>
      </c>
      <c r="L1" s="127" t="s">
        <v>104</v>
      </c>
      <c r="M1" s="127" t="s">
        <v>104</v>
      </c>
      <c r="N1" s="127" t="s">
        <v>104</v>
      </c>
      <c r="O1" s="127" t="s">
        <v>104</v>
      </c>
      <c r="P1" s="128" t="s">
        <v>104</v>
      </c>
      <c r="Q1" s="303" t="s">
        <v>124</v>
      </c>
      <c r="R1" s="303" t="s">
        <v>105</v>
      </c>
      <c r="S1" s="303" t="s">
        <v>135</v>
      </c>
      <c r="T1" s="307" t="s">
        <v>106</v>
      </c>
      <c r="U1" s="303" t="s">
        <v>136</v>
      </c>
    </row>
    <row r="2" spans="1:21" ht="15.75" thickBot="1" x14ac:dyDescent="0.3">
      <c r="A2" s="306"/>
      <c r="B2" s="306"/>
      <c r="C2" s="306"/>
      <c r="D2" s="129"/>
      <c r="E2" s="130">
        <v>1</v>
      </c>
      <c r="F2" s="131">
        <v>2</v>
      </c>
      <c r="G2" s="132">
        <v>3</v>
      </c>
      <c r="H2" s="232">
        <v>4</v>
      </c>
      <c r="I2" s="132">
        <v>5</v>
      </c>
      <c r="J2" s="132">
        <v>6</v>
      </c>
      <c r="K2" s="132">
        <v>7</v>
      </c>
      <c r="L2" s="132">
        <v>8</v>
      </c>
      <c r="M2" s="132">
        <v>9</v>
      </c>
      <c r="N2" s="132">
        <v>10</v>
      </c>
      <c r="O2" s="132">
        <v>11</v>
      </c>
      <c r="P2" s="133">
        <v>12</v>
      </c>
      <c r="Q2" s="304"/>
      <c r="R2" s="304"/>
      <c r="S2" s="304"/>
      <c r="T2" s="304"/>
      <c r="U2" s="304"/>
    </row>
    <row r="3" spans="1:21" ht="16.5" thickBot="1" x14ac:dyDescent="0.3">
      <c r="A3" s="134">
        <v>969</v>
      </c>
      <c r="B3" s="135" t="s">
        <v>33</v>
      </c>
      <c r="C3" s="136" t="s">
        <v>107</v>
      </c>
      <c r="D3" s="137">
        <v>39234</v>
      </c>
      <c r="E3" s="225"/>
      <c r="F3" s="199"/>
      <c r="G3" s="226"/>
      <c r="H3" s="226"/>
      <c r="I3" s="155"/>
      <c r="J3" s="155"/>
      <c r="K3" s="155"/>
      <c r="L3" s="155"/>
      <c r="M3" s="155"/>
      <c r="N3" s="155"/>
      <c r="O3" s="155"/>
      <c r="P3" s="156"/>
      <c r="Q3" s="166">
        <f>+E3+F3+G3+H3+I3+J3+K3+L3+M3+N3+O3+P3</f>
        <v>0</v>
      </c>
      <c r="R3" s="173">
        <v>0.5</v>
      </c>
      <c r="S3" s="181">
        <f>+R3-Q3</f>
        <v>0.5</v>
      </c>
      <c r="T3" s="182">
        <v>26</v>
      </c>
      <c r="U3" s="193">
        <f>+R3+T3-Q3</f>
        <v>26.5</v>
      </c>
    </row>
    <row r="4" spans="1:21" ht="16.5" thickBot="1" x14ac:dyDescent="0.3">
      <c r="A4" s="134">
        <v>5709</v>
      </c>
      <c r="B4" s="135" t="s">
        <v>53</v>
      </c>
      <c r="C4" s="138" t="s">
        <v>107</v>
      </c>
      <c r="D4" s="137">
        <v>42095</v>
      </c>
      <c r="E4" s="170"/>
      <c r="F4" s="200">
        <v>1</v>
      </c>
      <c r="G4" s="208">
        <v>1</v>
      </c>
      <c r="H4" s="208">
        <v>2</v>
      </c>
      <c r="I4" s="44"/>
      <c r="J4" s="44"/>
      <c r="K4" s="44"/>
      <c r="L4" s="44"/>
      <c r="M4" s="44"/>
      <c r="N4" s="44"/>
      <c r="O4" s="44"/>
      <c r="P4" s="157"/>
      <c r="Q4" s="167">
        <f t="shared" ref="Q4:Q44" si="0">+E4+F4+G4+H4+I4+J4+K4+L4+M4+N4+O4+P4</f>
        <v>4</v>
      </c>
      <c r="R4" s="174">
        <v>3</v>
      </c>
      <c r="S4" s="197">
        <v>0</v>
      </c>
      <c r="T4" s="183">
        <v>24</v>
      </c>
      <c r="U4" s="194">
        <f t="shared" ref="U4:U44" si="1">+R4+T4-Q4</f>
        <v>23</v>
      </c>
    </row>
    <row r="5" spans="1:21" ht="16.5" thickBot="1" x14ac:dyDescent="0.3">
      <c r="A5" s="134">
        <v>5710</v>
      </c>
      <c r="B5" s="135" t="s">
        <v>54</v>
      </c>
      <c r="C5" s="138" t="s">
        <v>107</v>
      </c>
      <c r="D5" s="137">
        <v>45334</v>
      </c>
      <c r="E5" s="170"/>
      <c r="F5" s="200">
        <v>2</v>
      </c>
      <c r="G5" s="208">
        <f>5+2</f>
        <v>7</v>
      </c>
      <c r="H5" s="208"/>
      <c r="I5" s="44"/>
      <c r="J5" s="44"/>
      <c r="K5" s="44"/>
      <c r="L5" s="44"/>
      <c r="M5" s="44"/>
      <c r="N5" s="44"/>
      <c r="O5" s="44"/>
      <c r="P5" s="157"/>
      <c r="Q5" s="167">
        <f t="shared" si="0"/>
        <v>9</v>
      </c>
      <c r="R5" s="174">
        <v>2.5</v>
      </c>
      <c r="S5" s="197">
        <v>0</v>
      </c>
      <c r="T5" s="184">
        <v>21</v>
      </c>
      <c r="U5" s="194">
        <f t="shared" si="1"/>
        <v>14.5</v>
      </c>
    </row>
    <row r="6" spans="1:21" ht="16.5" thickBot="1" x14ac:dyDescent="0.3">
      <c r="A6" s="134">
        <v>7787</v>
      </c>
      <c r="B6" s="135" t="s">
        <v>108</v>
      </c>
      <c r="C6" s="138" t="s">
        <v>107</v>
      </c>
      <c r="D6" s="137">
        <v>45681</v>
      </c>
      <c r="E6" s="170"/>
      <c r="F6" s="200">
        <v>10</v>
      </c>
      <c r="G6" s="208">
        <v>1</v>
      </c>
      <c r="H6" s="208"/>
      <c r="I6" s="44"/>
      <c r="J6" s="44"/>
      <c r="K6" s="44"/>
      <c r="L6" s="44"/>
      <c r="M6" s="44"/>
      <c r="N6" s="44"/>
      <c r="O6" s="44"/>
      <c r="P6" s="157"/>
      <c r="Q6" s="167">
        <f t="shared" si="0"/>
        <v>11</v>
      </c>
      <c r="R6" s="174">
        <v>26</v>
      </c>
      <c r="S6" s="197">
        <f t="shared" ref="S6:S43" si="2">+R6-Q6</f>
        <v>15</v>
      </c>
      <c r="T6" s="185">
        <v>21</v>
      </c>
      <c r="U6" s="194">
        <f t="shared" si="1"/>
        <v>36</v>
      </c>
    </row>
    <row r="7" spans="1:21" ht="16.5" thickBot="1" x14ac:dyDescent="0.3">
      <c r="A7" s="134">
        <v>7788</v>
      </c>
      <c r="B7" s="135" t="s">
        <v>52</v>
      </c>
      <c r="C7" s="138" t="s">
        <v>107</v>
      </c>
      <c r="D7" s="137">
        <v>45714</v>
      </c>
      <c r="E7" s="170"/>
      <c r="F7" s="200"/>
      <c r="G7" s="200">
        <v>6</v>
      </c>
      <c r="H7" s="208">
        <f>3+1</f>
        <v>4</v>
      </c>
      <c r="I7" s="208">
        <v>1</v>
      </c>
      <c r="J7" s="44"/>
      <c r="K7" s="44"/>
      <c r="L7" s="44"/>
      <c r="M7" s="44"/>
      <c r="N7" s="44"/>
      <c r="O7" s="44"/>
      <c r="P7" s="157"/>
      <c r="Q7" s="167">
        <f t="shared" si="0"/>
        <v>11</v>
      </c>
      <c r="R7" s="174">
        <v>5</v>
      </c>
      <c r="S7" s="197">
        <v>0</v>
      </c>
      <c r="T7" s="184">
        <v>18</v>
      </c>
      <c r="U7" s="194">
        <f t="shared" si="1"/>
        <v>12</v>
      </c>
    </row>
    <row r="8" spans="1:21" ht="16.5" thickBot="1" x14ac:dyDescent="0.3">
      <c r="A8" s="134">
        <v>7790</v>
      </c>
      <c r="B8" s="135" t="s">
        <v>49</v>
      </c>
      <c r="C8" s="138" t="s">
        <v>107</v>
      </c>
      <c r="D8" s="137">
        <v>45880</v>
      </c>
      <c r="E8" s="170"/>
      <c r="F8" s="200"/>
      <c r="G8" s="208">
        <f>3+4</f>
        <v>7</v>
      </c>
      <c r="H8" s="208"/>
      <c r="I8" s="44"/>
      <c r="J8" s="44"/>
      <c r="K8" s="44"/>
      <c r="L8" s="44"/>
      <c r="M8" s="44"/>
      <c r="N8" s="44"/>
      <c r="O8" s="44"/>
      <c r="P8" s="157"/>
      <c r="Q8" s="167">
        <f t="shared" si="0"/>
        <v>7</v>
      </c>
      <c r="R8" s="174">
        <v>7</v>
      </c>
      <c r="S8" s="197">
        <f t="shared" si="2"/>
        <v>0</v>
      </c>
      <c r="T8" s="184">
        <v>21</v>
      </c>
      <c r="U8" s="194">
        <f t="shared" si="1"/>
        <v>21</v>
      </c>
    </row>
    <row r="9" spans="1:21" ht="16.5" thickBot="1" x14ac:dyDescent="0.3">
      <c r="A9" s="134">
        <v>955</v>
      </c>
      <c r="B9" s="135" t="s">
        <v>109</v>
      </c>
      <c r="C9" s="138" t="s">
        <v>110</v>
      </c>
      <c r="D9" s="137">
        <v>37956</v>
      </c>
      <c r="E9" s="170"/>
      <c r="F9" s="200">
        <v>1</v>
      </c>
      <c r="G9" s="208">
        <f>2+2+2</f>
        <v>6</v>
      </c>
      <c r="H9" s="208">
        <v>1</v>
      </c>
      <c r="I9" s="44"/>
      <c r="J9" s="44"/>
      <c r="K9" s="44"/>
      <c r="L9" s="44"/>
      <c r="M9" s="44"/>
      <c r="N9" s="44"/>
      <c r="O9" s="44"/>
      <c r="P9" s="157"/>
      <c r="Q9" s="167">
        <f t="shared" si="0"/>
        <v>8</v>
      </c>
      <c r="R9" s="175">
        <v>8</v>
      </c>
      <c r="S9" s="197">
        <f t="shared" si="2"/>
        <v>0</v>
      </c>
      <c r="T9" s="183">
        <v>26</v>
      </c>
      <c r="U9" s="194">
        <f t="shared" si="1"/>
        <v>26</v>
      </c>
    </row>
    <row r="10" spans="1:21" ht="16.5" thickBot="1" x14ac:dyDescent="0.3">
      <c r="A10" s="139">
        <v>948</v>
      </c>
      <c r="B10" s="140" t="s">
        <v>24</v>
      </c>
      <c r="C10" s="141" t="s">
        <v>111</v>
      </c>
      <c r="D10" s="137">
        <v>37622</v>
      </c>
      <c r="E10" s="170"/>
      <c r="F10" s="200"/>
      <c r="G10" s="208"/>
      <c r="H10" s="208">
        <v>7</v>
      </c>
      <c r="I10" s="44"/>
      <c r="J10" s="44"/>
      <c r="K10" s="44"/>
      <c r="L10" s="44"/>
      <c r="M10" s="44"/>
      <c r="N10" s="44"/>
      <c r="O10" s="44"/>
      <c r="P10" s="157"/>
      <c r="Q10" s="167">
        <f t="shared" si="0"/>
        <v>7</v>
      </c>
      <c r="R10" s="176">
        <v>0</v>
      </c>
      <c r="S10" s="197">
        <v>0</v>
      </c>
      <c r="T10" s="186">
        <v>24</v>
      </c>
      <c r="U10" s="194">
        <f t="shared" si="1"/>
        <v>17</v>
      </c>
    </row>
    <row r="11" spans="1:21" ht="16.5" thickBot="1" x14ac:dyDescent="0.3">
      <c r="A11" s="134">
        <v>958</v>
      </c>
      <c r="B11" s="135" t="s">
        <v>29</v>
      </c>
      <c r="C11" s="138" t="s">
        <v>111</v>
      </c>
      <c r="D11" s="137">
        <v>38267</v>
      </c>
      <c r="E11" s="170">
        <v>15</v>
      </c>
      <c r="F11" s="200"/>
      <c r="G11" s="208"/>
      <c r="H11" s="208"/>
      <c r="I11" s="44"/>
      <c r="J11" s="44"/>
      <c r="K11" s="44"/>
      <c r="L11" s="44"/>
      <c r="M11" s="44"/>
      <c r="N11" s="44"/>
      <c r="O11" s="44"/>
      <c r="P11" s="157"/>
      <c r="Q11" s="167">
        <f t="shared" si="0"/>
        <v>15</v>
      </c>
      <c r="R11" s="175">
        <v>15</v>
      </c>
      <c r="S11" s="197">
        <f t="shared" si="2"/>
        <v>0</v>
      </c>
      <c r="T11" s="183">
        <v>24</v>
      </c>
      <c r="U11" s="194">
        <f t="shared" si="1"/>
        <v>24</v>
      </c>
    </row>
    <row r="12" spans="1:21" ht="16.5" thickBot="1" x14ac:dyDescent="0.3">
      <c r="A12" s="134">
        <v>973</v>
      </c>
      <c r="B12" s="135" t="s">
        <v>34</v>
      </c>
      <c r="C12" s="138" t="s">
        <v>111</v>
      </c>
      <c r="D12" s="137">
        <v>39259</v>
      </c>
      <c r="E12" s="170"/>
      <c r="F12" s="200">
        <v>11</v>
      </c>
      <c r="G12" s="208"/>
      <c r="H12" s="208"/>
      <c r="I12" s="44"/>
      <c r="J12" s="44"/>
      <c r="K12" s="44"/>
      <c r="L12" s="44"/>
      <c r="M12" s="44"/>
      <c r="N12" s="44"/>
      <c r="O12" s="44"/>
      <c r="P12" s="157"/>
      <c r="Q12" s="167">
        <f t="shared" si="0"/>
        <v>11</v>
      </c>
      <c r="R12" s="174">
        <v>11.5</v>
      </c>
      <c r="S12" s="197">
        <f t="shared" si="2"/>
        <v>0.5</v>
      </c>
      <c r="T12" s="187">
        <v>22.5</v>
      </c>
      <c r="U12" s="194">
        <f t="shared" si="1"/>
        <v>23</v>
      </c>
    </row>
    <row r="13" spans="1:21" ht="16.5" thickBot="1" x14ac:dyDescent="0.3">
      <c r="A13" s="134">
        <v>981</v>
      </c>
      <c r="B13" s="135" t="s">
        <v>35</v>
      </c>
      <c r="C13" s="138" t="s">
        <v>111</v>
      </c>
      <c r="D13" s="137">
        <v>39753</v>
      </c>
      <c r="E13" s="170"/>
      <c r="F13" s="200"/>
      <c r="G13" s="208"/>
      <c r="H13" s="208"/>
      <c r="I13" s="44"/>
      <c r="J13" s="44"/>
      <c r="K13" s="44"/>
      <c r="L13" s="44"/>
      <c r="M13" s="44"/>
      <c r="N13" s="44"/>
      <c r="O13" s="44"/>
      <c r="P13" s="157"/>
      <c r="Q13" s="167">
        <f t="shared" si="0"/>
        <v>0</v>
      </c>
      <c r="R13" s="174">
        <v>0.5</v>
      </c>
      <c r="S13" s="197">
        <f t="shared" si="2"/>
        <v>0.5</v>
      </c>
      <c r="T13" s="183">
        <f t="shared" ref="T13:T17" si="3">21+1.5</f>
        <v>22.5</v>
      </c>
      <c r="U13" s="194">
        <f t="shared" si="1"/>
        <v>23</v>
      </c>
    </row>
    <row r="14" spans="1:21" ht="19.5" customHeight="1" thickBot="1" x14ac:dyDescent="0.3">
      <c r="A14" s="134">
        <v>982</v>
      </c>
      <c r="B14" s="135" t="s">
        <v>36</v>
      </c>
      <c r="C14" s="138" t="s">
        <v>111</v>
      </c>
      <c r="D14" s="137">
        <v>39753</v>
      </c>
      <c r="E14" s="170"/>
      <c r="F14" s="200"/>
      <c r="G14" s="208"/>
      <c r="H14" s="208"/>
      <c r="I14" s="44"/>
      <c r="J14" s="44"/>
      <c r="K14" s="44"/>
      <c r="L14" s="44"/>
      <c r="M14" s="44"/>
      <c r="N14" s="44"/>
      <c r="O14" s="44"/>
      <c r="P14" s="157"/>
      <c r="Q14" s="167">
        <f t="shared" si="0"/>
        <v>0</v>
      </c>
      <c r="R14" s="175">
        <v>0</v>
      </c>
      <c r="S14" s="197">
        <f t="shared" si="2"/>
        <v>0</v>
      </c>
      <c r="T14" s="187">
        <f t="shared" si="3"/>
        <v>22.5</v>
      </c>
      <c r="U14" s="194">
        <f t="shared" si="1"/>
        <v>22.5</v>
      </c>
    </row>
    <row r="15" spans="1:21" ht="16.5" thickBot="1" x14ac:dyDescent="0.3">
      <c r="A15" s="134">
        <v>1642</v>
      </c>
      <c r="B15" s="135" t="s">
        <v>40</v>
      </c>
      <c r="C15" s="138" t="s">
        <v>111</v>
      </c>
      <c r="D15" s="137">
        <v>40087</v>
      </c>
      <c r="E15" s="170"/>
      <c r="F15" s="200"/>
      <c r="G15" s="208"/>
      <c r="H15" s="208">
        <v>5</v>
      </c>
      <c r="I15" s="44"/>
      <c r="J15" s="44"/>
      <c r="K15" s="44"/>
      <c r="L15" s="44"/>
      <c r="M15" s="44"/>
      <c r="N15" s="44"/>
      <c r="O15" s="44"/>
      <c r="P15" s="157"/>
      <c r="Q15" s="167">
        <f t="shared" si="0"/>
        <v>5</v>
      </c>
      <c r="R15" s="175">
        <v>0.5</v>
      </c>
      <c r="S15" s="197">
        <v>0</v>
      </c>
      <c r="T15" s="187">
        <f t="shared" si="3"/>
        <v>22.5</v>
      </c>
      <c r="U15" s="194">
        <f t="shared" si="1"/>
        <v>18</v>
      </c>
    </row>
    <row r="16" spans="1:21" ht="16.5" thickBot="1" x14ac:dyDescent="0.3">
      <c r="A16" s="142">
        <v>2426</v>
      </c>
      <c r="B16" s="143" t="s">
        <v>45</v>
      </c>
      <c r="C16" s="144" t="s">
        <v>111</v>
      </c>
      <c r="D16" s="230">
        <v>40422</v>
      </c>
      <c r="E16" s="170"/>
      <c r="F16" s="200">
        <v>3</v>
      </c>
      <c r="G16" s="208"/>
      <c r="H16" s="227"/>
      <c r="I16" s="227"/>
      <c r="J16" s="227"/>
      <c r="K16" s="227"/>
      <c r="L16" s="227"/>
      <c r="M16" s="227"/>
      <c r="N16" s="227"/>
      <c r="O16" s="227"/>
      <c r="P16" s="227"/>
      <c r="Q16" s="167">
        <f t="shared" si="0"/>
        <v>3</v>
      </c>
      <c r="R16" s="175">
        <v>3.5</v>
      </c>
      <c r="S16" s="197">
        <f t="shared" si="2"/>
        <v>0.5</v>
      </c>
      <c r="T16" s="183">
        <f t="shared" si="3"/>
        <v>22.5</v>
      </c>
      <c r="U16" s="194">
        <f t="shared" si="1"/>
        <v>23</v>
      </c>
    </row>
    <row r="17" spans="1:21" ht="16.5" thickBot="1" x14ac:dyDescent="0.3">
      <c r="A17" s="134">
        <v>2427</v>
      </c>
      <c r="B17" s="135" t="s">
        <v>46</v>
      </c>
      <c r="C17" s="138" t="s">
        <v>111</v>
      </c>
      <c r="D17" s="137">
        <v>40422</v>
      </c>
      <c r="E17" s="170"/>
      <c r="F17" s="200"/>
      <c r="G17" s="208"/>
      <c r="H17" s="208"/>
      <c r="I17" s="44"/>
      <c r="J17" s="44"/>
      <c r="K17" s="44"/>
      <c r="L17" s="44"/>
      <c r="M17" s="44"/>
      <c r="N17" s="44"/>
      <c r="O17" s="44"/>
      <c r="P17" s="157"/>
      <c r="Q17" s="167">
        <f t="shared" si="0"/>
        <v>0</v>
      </c>
      <c r="R17" s="175">
        <v>0.5</v>
      </c>
      <c r="S17" s="197">
        <f t="shared" si="2"/>
        <v>0.5</v>
      </c>
      <c r="T17" s="187">
        <f t="shared" si="3"/>
        <v>22.5</v>
      </c>
      <c r="U17" s="194">
        <f t="shared" si="1"/>
        <v>23</v>
      </c>
    </row>
    <row r="18" spans="1:21" ht="16.5" thickBot="1" x14ac:dyDescent="0.3">
      <c r="A18" s="142"/>
      <c r="B18" s="143" t="s">
        <v>128</v>
      </c>
      <c r="C18" s="144" t="s">
        <v>111</v>
      </c>
      <c r="D18" s="230">
        <v>46043</v>
      </c>
      <c r="E18" s="170"/>
      <c r="F18" s="200"/>
      <c r="G18" s="208"/>
      <c r="H18" s="227"/>
      <c r="I18" s="227"/>
      <c r="J18" s="227"/>
      <c r="K18" s="227"/>
      <c r="L18" s="227"/>
      <c r="M18" s="227"/>
      <c r="N18" s="227"/>
      <c r="O18" s="227"/>
      <c r="P18" s="227"/>
      <c r="Q18" s="167">
        <f t="shared" si="0"/>
        <v>0</v>
      </c>
      <c r="R18" s="175">
        <v>0</v>
      </c>
      <c r="S18" s="197">
        <f t="shared" si="2"/>
        <v>0</v>
      </c>
      <c r="T18" s="187">
        <v>18</v>
      </c>
      <c r="U18" s="194">
        <v>18</v>
      </c>
    </row>
    <row r="19" spans="1:21" ht="16.5" thickBot="1" x14ac:dyDescent="0.3">
      <c r="A19" s="142">
        <v>7793</v>
      </c>
      <c r="B19" s="143" t="s">
        <v>48</v>
      </c>
      <c r="C19" s="144" t="s">
        <v>111</v>
      </c>
      <c r="D19" s="230">
        <v>45915</v>
      </c>
      <c r="E19" s="201">
        <v>7.5</v>
      </c>
      <c r="F19" s="202" t="s">
        <v>139</v>
      </c>
      <c r="G19" s="227"/>
      <c r="H19" s="227"/>
      <c r="I19" s="145"/>
      <c r="J19" s="145"/>
      <c r="K19" s="145"/>
      <c r="L19" s="145"/>
      <c r="M19" s="145"/>
      <c r="N19" s="145"/>
      <c r="O19" s="145"/>
      <c r="P19" s="158"/>
      <c r="Q19" s="167">
        <v>0</v>
      </c>
      <c r="R19" s="174">
        <v>6</v>
      </c>
      <c r="S19" s="197">
        <v>0</v>
      </c>
      <c r="T19" s="184">
        <v>1.5</v>
      </c>
      <c r="U19" s="194">
        <f>+R19+T19-Q19</f>
        <v>7.5</v>
      </c>
    </row>
    <row r="20" spans="1:21" ht="16.5" thickBot="1" x14ac:dyDescent="0.3">
      <c r="A20" s="139">
        <v>113</v>
      </c>
      <c r="B20" s="140" t="s">
        <v>55</v>
      </c>
      <c r="C20" s="141" t="s">
        <v>112</v>
      </c>
      <c r="D20" s="137">
        <v>44958</v>
      </c>
      <c r="E20" s="170"/>
      <c r="F20" s="200"/>
      <c r="G20" s="208">
        <v>11</v>
      </c>
      <c r="H20" s="208"/>
      <c r="I20" s="145"/>
      <c r="J20" s="145"/>
      <c r="K20" s="145"/>
      <c r="L20" s="145"/>
      <c r="M20" s="145"/>
      <c r="N20" s="145"/>
      <c r="O20" s="145"/>
      <c r="P20" s="158"/>
      <c r="Q20" s="167">
        <f t="shared" si="0"/>
        <v>11</v>
      </c>
      <c r="R20" s="176">
        <v>4</v>
      </c>
      <c r="S20" s="197">
        <v>0</v>
      </c>
      <c r="T20" s="188">
        <v>8.5</v>
      </c>
      <c r="U20" s="194">
        <f t="shared" si="1"/>
        <v>1.5</v>
      </c>
    </row>
    <row r="21" spans="1:21" ht="16.5" thickBot="1" x14ac:dyDescent="0.3">
      <c r="A21" s="139">
        <v>925</v>
      </c>
      <c r="B21" s="140" t="s">
        <v>18</v>
      </c>
      <c r="C21" s="141" t="s">
        <v>113</v>
      </c>
      <c r="D21" s="137">
        <v>36465</v>
      </c>
      <c r="E21" s="170"/>
      <c r="F21" s="200"/>
      <c r="G21" s="208">
        <v>10</v>
      </c>
      <c r="H21" s="208"/>
      <c r="I21" s="44"/>
      <c r="J21" s="44"/>
      <c r="K21" s="44"/>
      <c r="L21" s="44"/>
      <c r="M21" s="44"/>
      <c r="N21" s="44"/>
      <c r="O21" s="44"/>
      <c r="P21" s="157"/>
      <c r="Q21" s="167">
        <f t="shared" si="0"/>
        <v>10</v>
      </c>
      <c r="R21" s="176">
        <v>0.5</v>
      </c>
      <c r="S21" s="197">
        <v>0</v>
      </c>
      <c r="T21" s="186">
        <f>24+1.5</f>
        <v>25.5</v>
      </c>
      <c r="U21" s="194">
        <f t="shared" si="1"/>
        <v>16</v>
      </c>
    </row>
    <row r="22" spans="1:21" ht="16.5" thickBot="1" x14ac:dyDescent="0.3">
      <c r="A22" s="139">
        <v>934</v>
      </c>
      <c r="B22" s="140" t="s">
        <v>20</v>
      </c>
      <c r="C22" s="141" t="s">
        <v>113</v>
      </c>
      <c r="D22" s="137">
        <v>36663</v>
      </c>
      <c r="E22" s="170"/>
      <c r="F22" s="200"/>
      <c r="G22" s="208">
        <v>6</v>
      </c>
      <c r="H22" s="208"/>
      <c r="I22" s="44"/>
      <c r="J22" s="44"/>
      <c r="K22" s="44"/>
      <c r="L22" s="44"/>
      <c r="M22" s="44"/>
      <c r="N22" s="44"/>
      <c r="O22" s="44"/>
      <c r="P22" s="157"/>
      <c r="Q22" s="167">
        <f t="shared" si="0"/>
        <v>6</v>
      </c>
      <c r="R22" s="175">
        <v>0.5</v>
      </c>
      <c r="S22" s="197">
        <v>0</v>
      </c>
      <c r="T22" s="186">
        <f>24+1.5</f>
        <v>25.5</v>
      </c>
      <c r="U22" s="194">
        <f t="shared" si="1"/>
        <v>20</v>
      </c>
    </row>
    <row r="23" spans="1:21" ht="16.5" thickBot="1" x14ac:dyDescent="0.3">
      <c r="A23" s="134">
        <v>964</v>
      </c>
      <c r="B23" s="135" t="s">
        <v>32</v>
      </c>
      <c r="C23" s="138" t="s">
        <v>113</v>
      </c>
      <c r="D23" s="137">
        <v>39052</v>
      </c>
      <c r="E23" s="170"/>
      <c r="F23" s="200"/>
      <c r="G23" s="208"/>
      <c r="H23" s="208"/>
      <c r="I23" s="44"/>
      <c r="J23" s="44"/>
      <c r="K23" s="44"/>
      <c r="L23" s="44"/>
      <c r="M23" s="44"/>
      <c r="N23" s="44"/>
      <c r="O23" s="44"/>
      <c r="P23" s="157"/>
      <c r="Q23" s="167">
        <f t="shared" si="0"/>
        <v>0</v>
      </c>
      <c r="R23" s="175">
        <v>0</v>
      </c>
      <c r="S23" s="197">
        <f t="shared" si="2"/>
        <v>0</v>
      </c>
      <c r="T23" s="183">
        <v>22.5</v>
      </c>
      <c r="U23" s="194">
        <f t="shared" si="1"/>
        <v>22.5</v>
      </c>
    </row>
    <row r="24" spans="1:21" ht="16.5" thickBot="1" x14ac:dyDescent="0.3">
      <c r="A24" s="134">
        <v>1665</v>
      </c>
      <c r="B24" s="135" t="s">
        <v>41</v>
      </c>
      <c r="C24" s="138" t="s">
        <v>113</v>
      </c>
      <c r="D24" s="137">
        <v>40087</v>
      </c>
      <c r="E24" s="170"/>
      <c r="F24" s="200">
        <v>7</v>
      </c>
      <c r="G24" s="208"/>
      <c r="H24" s="208">
        <v>1</v>
      </c>
      <c r="I24" s="44"/>
      <c r="J24" s="44"/>
      <c r="K24" s="44"/>
      <c r="L24" s="44"/>
      <c r="M24" s="44"/>
      <c r="N24" s="44"/>
      <c r="O24" s="44"/>
      <c r="P24" s="157"/>
      <c r="Q24" s="167">
        <f t="shared" si="0"/>
        <v>8</v>
      </c>
      <c r="R24" s="175">
        <v>0</v>
      </c>
      <c r="S24" s="197">
        <v>0</v>
      </c>
      <c r="T24" s="187">
        <f>21+1.5</f>
        <v>22.5</v>
      </c>
      <c r="U24" s="194">
        <f t="shared" si="1"/>
        <v>14.5</v>
      </c>
    </row>
    <row r="25" spans="1:21" ht="16.5" thickBot="1" x14ac:dyDescent="0.3">
      <c r="A25" s="139">
        <v>930</v>
      </c>
      <c r="B25" s="140" t="s">
        <v>19</v>
      </c>
      <c r="C25" s="141" t="s">
        <v>114</v>
      </c>
      <c r="D25" s="137">
        <v>36479</v>
      </c>
      <c r="E25" s="170"/>
      <c r="F25" s="200">
        <v>2</v>
      </c>
      <c r="G25" s="208">
        <v>6</v>
      </c>
      <c r="H25" s="208"/>
      <c r="I25" s="44"/>
      <c r="J25" s="44"/>
      <c r="K25" s="44"/>
      <c r="L25" s="44"/>
      <c r="M25" s="44"/>
      <c r="N25" s="44"/>
      <c r="O25" s="44"/>
      <c r="P25" s="157"/>
      <c r="Q25" s="167">
        <f t="shared" si="0"/>
        <v>8</v>
      </c>
      <c r="R25" s="175">
        <v>7.5</v>
      </c>
      <c r="S25" s="197">
        <v>0</v>
      </c>
      <c r="T25" s="187">
        <f>24+1.5</f>
        <v>25.5</v>
      </c>
      <c r="U25" s="194">
        <f t="shared" si="1"/>
        <v>25</v>
      </c>
    </row>
    <row r="26" spans="1:21" ht="16.5" thickBot="1" x14ac:dyDescent="0.3">
      <c r="A26" s="134">
        <v>952</v>
      </c>
      <c r="B26" s="135" t="s">
        <v>27</v>
      </c>
      <c r="C26" s="138" t="s">
        <v>114</v>
      </c>
      <c r="D26" s="137">
        <v>37915</v>
      </c>
      <c r="E26" s="170">
        <v>4</v>
      </c>
      <c r="F26" s="200">
        <v>3</v>
      </c>
      <c r="G26" s="208">
        <v>5</v>
      </c>
      <c r="H26" s="208">
        <f>2+4</f>
        <v>6</v>
      </c>
      <c r="I26" s="44"/>
      <c r="J26" s="44"/>
      <c r="K26" s="44"/>
      <c r="L26" s="44"/>
      <c r="M26" s="44"/>
      <c r="N26" s="44"/>
      <c r="O26" s="44"/>
      <c r="P26" s="157"/>
      <c r="Q26" s="167">
        <f t="shared" si="0"/>
        <v>18</v>
      </c>
      <c r="R26" s="174">
        <v>18.5</v>
      </c>
      <c r="S26" s="197">
        <f t="shared" si="2"/>
        <v>0.5</v>
      </c>
      <c r="T26" s="187">
        <f>22.5+1.5</f>
        <v>24</v>
      </c>
      <c r="U26" s="194">
        <f t="shared" si="1"/>
        <v>24.5</v>
      </c>
    </row>
    <row r="27" spans="1:21" ht="16.5" thickBot="1" x14ac:dyDescent="0.3">
      <c r="A27" s="134">
        <v>986</v>
      </c>
      <c r="B27" s="135" t="s">
        <v>39</v>
      </c>
      <c r="C27" s="138" t="s">
        <v>114</v>
      </c>
      <c r="D27" s="137">
        <v>39815</v>
      </c>
      <c r="E27" s="170"/>
      <c r="F27" s="200">
        <v>1</v>
      </c>
      <c r="G27" s="208">
        <v>5</v>
      </c>
      <c r="H27" s="208">
        <v>2</v>
      </c>
      <c r="I27" s="44"/>
      <c r="J27" s="44"/>
      <c r="K27" s="44"/>
      <c r="L27" s="44"/>
      <c r="M27" s="44"/>
      <c r="N27" s="44"/>
      <c r="O27" s="44"/>
      <c r="P27" s="157"/>
      <c r="Q27" s="167">
        <f t="shared" si="0"/>
        <v>8</v>
      </c>
      <c r="R27" s="175">
        <v>4</v>
      </c>
      <c r="S27" s="197">
        <v>0</v>
      </c>
      <c r="T27" s="183">
        <f>21+1.5</f>
        <v>22.5</v>
      </c>
      <c r="U27" s="194">
        <f t="shared" si="1"/>
        <v>18.5</v>
      </c>
    </row>
    <row r="28" spans="1:21" ht="16.5" thickBot="1" x14ac:dyDescent="0.3">
      <c r="A28" s="139">
        <v>920</v>
      </c>
      <c r="B28" s="140" t="s">
        <v>16</v>
      </c>
      <c r="C28" s="141" t="s">
        <v>115</v>
      </c>
      <c r="D28" s="137">
        <v>36465</v>
      </c>
      <c r="E28" s="170">
        <v>1</v>
      </c>
      <c r="F28" s="200">
        <v>5</v>
      </c>
      <c r="G28" s="208"/>
      <c r="H28" s="208">
        <v>1</v>
      </c>
      <c r="I28" s="44"/>
      <c r="J28" s="44"/>
      <c r="K28" s="44"/>
      <c r="L28" s="145"/>
      <c r="M28" s="145"/>
      <c r="N28" s="145"/>
      <c r="O28" s="145"/>
      <c r="P28" s="158"/>
      <c r="Q28" s="167">
        <f>+E28+F28+G28+H28+I28+J28+K28+L28+M28+N28+O28+P28</f>
        <v>7</v>
      </c>
      <c r="R28" s="175">
        <v>7</v>
      </c>
      <c r="S28" s="197">
        <f t="shared" si="2"/>
        <v>0</v>
      </c>
      <c r="T28" s="187">
        <v>15</v>
      </c>
      <c r="U28" s="194">
        <f t="shared" si="1"/>
        <v>15</v>
      </c>
    </row>
    <row r="29" spans="1:21" ht="17.25" customHeight="1" thickBot="1" x14ac:dyDescent="0.3">
      <c r="A29" s="139">
        <v>921</v>
      </c>
      <c r="B29" s="140" t="s">
        <v>116</v>
      </c>
      <c r="C29" s="141" t="s">
        <v>115</v>
      </c>
      <c r="D29" s="137">
        <v>36479</v>
      </c>
      <c r="E29" s="170"/>
      <c r="F29" s="200"/>
      <c r="G29" s="208"/>
      <c r="H29" s="208"/>
      <c r="I29" s="44">
        <v>2</v>
      </c>
      <c r="J29" s="44"/>
      <c r="K29" s="44"/>
      <c r="L29" s="44"/>
      <c r="M29" s="44"/>
      <c r="N29" s="44"/>
      <c r="O29" s="44"/>
      <c r="P29" s="157"/>
      <c r="Q29" s="167">
        <f t="shared" si="0"/>
        <v>2</v>
      </c>
      <c r="R29" s="176">
        <v>0</v>
      </c>
      <c r="S29" s="197">
        <f t="shared" si="2"/>
        <v>-2</v>
      </c>
      <c r="T29" s="183">
        <v>24</v>
      </c>
      <c r="U29" s="194">
        <f t="shared" si="1"/>
        <v>22</v>
      </c>
    </row>
    <row r="30" spans="1:21" ht="16.5" thickBot="1" x14ac:dyDescent="0.3">
      <c r="A30" s="134">
        <v>962</v>
      </c>
      <c r="B30" s="135" t="s">
        <v>31</v>
      </c>
      <c r="C30" s="138" t="s">
        <v>115</v>
      </c>
      <c r="D30" s="137">
        <v>38838</v>
      </c>
      <c r="E30" s="170"/>
      <c r="F30" s="200"/>
      <c r="G30" s="208">
        <v>2</v>
      </c>
      <c r="H30" s="208">
        <v>1</v>
      </c>
      <c r="I30" s="44"/>
      <c r="J30" s="44"/>
      <c r="K30" s="44"/>
      <c r="L30" s="44"/>
      <c r="M30" s="44"/>
      <c r="N30" s="44"/>
      <c r="O30" s="44"/>
      <c r="P30" s="157"/>
      <c r="Q30" s="167">
        <f t="shared" si="0"/>
        <v>3</v>
      </c>
      <c r="R30" s="174">
        <v>0.5</v>
      </c>
      <c r="S30" s="197">
        <v>0</v>
      </c>
      <c r="T30" s="183">
        <v>22.5</v>
      </c>
      <c r="U30" s="194">
        <f t="shared" si="1"/>
        <v>20</v>
      </c>
    </row>
    <row r="31" spans="1:21" ht="16.5" thickBot="1" x14ac:dyDescent="0.3">
      <c r="A31" s="134">
        <v>985</v>
      </c>
      <c r="B31" s="135" t="s">
        <v>38</v>
      </c>
      <c r="C31" s="138" t="s">
        <v>115</v>
      </c>
      <c r="D31" s="137">
        <v>39753</v>
      </c>
      <c r="E31" s="170"/>
      <c r="F31" s="200">
        <v>3</v>
      </c>
      <c r="G31" s="208"/>
      <c r="H31" s="208"/>
      <c r="I31" s="44"/>
      <c r="J31" s="44"/>
      <c r="K31" s="44"/>
      <c r="L31" s="44"/>
      <c r="M31" s="44"/>
      <c r="N31" s="44"/>
      <c r="O31" s="44"/>
      <c r="P31" s="157"/>
      <c r="Q31" s="167">
        <f t="shared" si="0"/>
        <v>3</v>
      </c>
      <c r="R31" s="175">
        <v>0</v>
      </c>
      <c r="S31" s="197">
        <v>0</v>
      </c>
      <c r="T31" s="187">
        <f>21+1.5</f>
        <v>22.5</v>
      </c>
      <c r="U31" s="194">
        <f t="shared" si="1"/>
        <v>19.5</v>
      </c>
    </row>
    <row r="32" spans="1:21" ht="16.5" thickBot="1" x14ac:dyDescent="0.3">
      <c r="A32" s="134">
        <v>7791</v>
      </c>
      <c r="B32" s="135" t="s">
        <v>117</v>
      </c>
      <c r="C32" s="138" t="s">
        <v>115</v>
      </c>
      <c r="D32" s="137">
        <v>45874</v>
      </c>
      <c r="E32" s="170"/>
      <c r="F32" s="200"/>
      <c r="G32" s="208"/>
      <c r="H32" s="208"/>
      <c r="I32" s="44"/>
      <c r="J32" s="44"/>
      <c r="K32" s="44"/>
      <c r="L32" s="44"/>
      <c r="M32" s="44"/>
      <c r="N32" s="44"/>
      <c r="O32" s="44"/>
      <c r="P32" s="157"/>
      <c r="Q32" s="167">
        <f t="shared" si="0"/>
        <v>0</v>
      </c>
      <c r="R32" s="174">
        <v>1.5</v>
      </c>
      <c r="S32" s="197">
        <f t="shared" si="2"/>
        <v>1.5</v>
      </c>
      <c r="T32" s="184">
        <v>18</v>
      </c>
      <c r="U32" s="194">
        <f t="shared" si="1"/>
        <v>19.5</v>
      </c>
    </row>
    <row r="33" spans="1:21" ht="16.5" thickBot="1" x14ac:dyDescent="0.3">
      <c r="A33" s="139">
        <v>940</v>
      </c>
      <c r="B33" s="140" t="s">
        <v>22</v>
      </c>
      <c r="C33" s="141" t="s">
        <v>118</v>
      </c>
      <c r="D33" s="137">
        <v>36982</v>
      </c>
      <c r="E33" s="170"/>
      <c r="F33" s="200">
        <v>3</v>
      </c>
      <c r="G33" s="208">
        <v>3</v>
      </c>
      <c r="H33" s="208"/>
      <c r="I33" s="44"/>
      <c r="J33" s="44"/>
      <c r="K33" s="44"/>
      <c r="L33" s="44"/>
      <c r="M33" s="44"/>
      <c r="N33" s="44"/>
      <c r="O33" s="44"/>
      <c r="P33" s="157"/>
      <c r="Q33" s="167">
        <f t="shared" si="0"/>
        <v>6</v>
      </c>
      <c r="R33" s="176">
        <v>0</v>
      </c>
      <c r="S33" s="197">
        <v>0</v>
      </c>
      <c r="T33" s="183">
        <v>24</v>
      </c>
      <c r="U33" s="194">
        <f t="shared" si="1"/>
        <v>18</v>
      </c>
    </row>
    <row r="34" spans="1:21" ht="16.5" thickBot="1" x14ac:dyDescent="0.3">
      <c r="A34" s="139">
        <v>950</v>
      </c>
      <c r="B34" s="140" t="s">
        <v>25</v>
      </c>
      <c r="C34" s="141" t="s">
        <v>118</v>
      </c>
      <c r="D34" s="137">
        <v>37654</v>
      </c>
      <c r="E34" s="170"/>
      <c r="F34" s="200"/>
      <c r="G34" s="208">
        <v>1</v>
      </c>
      <c r="H34" s="208">
        <f>2+3+1</f>
        <v>6</v>
      </c>
      <c r="I34" s="44"/>
      <c r="J34" s="145"/>
      <c r="K34" s="145"/>
      <c r="L34" s="145"/>
      <c r="M34" s="145"/>
      <c r="N34" s="145"/>
      <c r="O34" s="145"/>
      <c r="P34" s="158"/>
      <c r="Q34" s="167">
        <f t="shared" si="0"/>
        <v>7</v>
      </c>
      <c r="R34" s="175">
        <v>0</v>
      </c>
      <c r="S34" s="197">
        <v>0</v>
      </c>
      <c r="T34" s="183">
        <v>11</v>
      </c>
      <c r="U34" s="194">
        <f t="shared" si="1"/>
        <v>4</v>
      </c>
    </row>
    <row r="35" spans="1:21" ht="16.5" thickBot="1" x14ac:dyDescent="0.3">
      <c r="A35" s="134">
        <v>951</v>
      </c>
      <c r="B35" s="135" t="s">
        <v>26</v>
      </c>
      <c r="C35" s="138" t="s">
        <v>118</v>
      </c>
      <c r="D35" s="137">
        <v>37662</v>
      </c>
      <c r="E35" s="170"/>
      <c r="F35" s="200"/>
      <c r="G35" s="208">
        <v>6</v>
      </c>
      <c r="H35" s="208"/>
      <c r="I35" s="44"/>
      <c r="J35" s="44"/>
      <c r="K35" s="44"/>
      <c r="L35" s="44"/>
      <c r="M35" s="44"/>
      <c r="N35" s="44"/>
      <c r="O35" s="44"/>
      <c r="P35" s="157"/>
      <c r="Q35" s="167">
        <f t="shared" si="0"/>
        <v>6</v>
      </c>
      <c r="R35" s="175">
        <v>0</v>
      </c>
      <c r="S35" s="197">
        <v>0</v>
      </c>
      <c r="T35" s="187">
        <v>24</v>
      </c>
      <c r="U35" s="194">
        <f t="shared" si="1"/>
        <v>18</v>
      </c>
    </row>
    <row r="36" spans="1:21" ht="16.5" thickBot="1" x14ac:dyDescent="0.3">
      <c r="A36" s="134">
        <v>959</v>
      </c>
      <c r="B36" s="135" t="s">
        <v>30</v>
      </c>
      <c r="C36" s="138" t="s">
        <v>118</v>
      </c>
      <c r="D36" s="137">
        <v>38565</v>
      </c>
      <c r="E36" s="170"/>
      <c r="F36" s="200"/>
      <c r="G36" s="208">
        <v>6</v>
      </c>
      <c r="H36" s="208"/>
      <c r="I36" s="44"/>
      <c r="J36" s="44"/>
      <c r="K36" s="44"/>
      <c r="L36" s="44"/>
      <c r="M36" s="44"/>
      <c r="N36" s="44"/>
      <c r="O36" s="44"/>
      <c r="P36" s="157"/>
      <c r="Q36" s="167">
        <f t="shared" si="0"/>
        <v>6</v>
      </c>
      <c r="R36" s="174">
        <v>1</v>
      </c>
      <c r="S36" s="197">
        <v>0</v>
      </c>
      <c r="T36" s="187">
        <f>22.5+1.5</f>
        <v>24</v>
      </c>
      <c r="U36" s="194">
        <f t="shared" si="1"/>
        <v>19</v>
      </c>
    </row>
    <row r="37" spans="1:21" ht="16.5" thickBot="1" x14ac:dyDescent="0.3">
      <c r="A37" s="134">
        <v>983</v>
      </c>
      <c r="B37" s="135" t="s">
        <v>37</v>
      </c>
      <c r="C37" s="138" t="s">
        <v>118</v>
      </c>
      <c r="D37" s="137">
        <v>39753</v>
      </c>
      <c r="E37" s="170"/>
      <c r="F37" s="200"/>
      <c r="G37" s="208">
        <f>6+1</f>
        <v>7</v>
      </c>
      <c r="H37" s="208"/>
      <c r="I37" s="44"/>
      <c r="J37" s="44"/>
      <c r="K37" s="44"/>
      <c r="L37" s="44"/>
      <c r="M37" s="44"/>
      <c r="N37" s="44"/>
      <c r="O37" s="44"/>
      <c r="P37" s="157"/>
      <c r="Q37" s="167">
        <f t="shared" si="0"/>
        <v>7</v>
      </c>
      <c r="R37" s="175">
        <v>0</v>
      </c>
      <c r="S37" s="197">
        <v>0</v>
      </c>
      <c r="T37" s="183">
        <f t="shared" ref="T37:T40" si="4">21+1.5</f>
        <v>22.5</v>
      </c>
      <c r="U37" s="194">
        <f t="shared" si="1"/>
        <v>15.5</v>
      </c>
    </row>
    <row r="38" spans="1:21" ht="16.5" thickBot="1" x14ac:dyDescent="0.3">
      <c r="A38" s="134">
        <v>2423</v>
      </c>
      <c r="B38" s="146" t="s">
        <v>42</v>
      </c>
      <c r="C38" s="147" t="s">
        <v>118</v>
      </c>
      <c r="D38" s="137">
        <v>40422</v>
      </c>
      <c r="E38" s="170"/>
      <c r="F38" s="200"/>
      <c r="G38" s="208">
        <v>6</v>
      </c>
      <c r="H38" s="208"/>
      <c r="I38" s="44"/>
      <c r="J38" s="44"/>
      <c r="K38" s="44"/>
      <c r="L38" s="44"/>
      <c r="M38" s="44"/>
      <c r="N38" s="44"/>
      <c r="O38" s="44"/>
      <c r="P38" s="157"/>
      <c r="Q38" s="167">
        <f t="shared" si="0"/>
        <v>6</v>
      </c>
      <c r="R38" s="175">
        <v>0.5</v>
      </c>
      <c r="S38" s="197">
        <v>0</v>
      </c>
      <c r="T38" s="189">
        <f t="shared" si="4"/>
        <v>22.5</v>
      </c>
      <c r="U38" s="194">
        <f t="shared" si="1"/>
        <v>17</v>
      </c>
    </row>
    <row r="39" spans="1:21" ht="16.5" thickBot="1" x14ac:dyDescent="0.3">
      <c r="A39" s="148">
        <v>2424</v>
      </c>
      <c r="B39" s="149" t="s">
        <v>43</v>
      </c>
      <c r="C39" s="150" t="s">
        <v>118</v>
      </c>
      <c r="D39" s="137">
        <v>40422</v>
      </c>
      <c r="E39" s="170"/>
      <c r="F39" s="200"/>
      <c r="G39" s="208">
        <v>6</v>
      </c>
      <c r="H39" s="208"/>
      <c r="I39" s="44"/>
      <c r="J39" s="44"/>
      <c r="K39" s="44"/>
      <c r="L39" s="44"/>
      <c r="M39" s="44"/>
      <c r="N39" s="44"/>
      <c r="O39" s="44"/>
      <c r="P39" s="157"/>
      <c r="Q39" s="167">
        <f t="shared" si="0"/>
        <v>6</v>
      </c>
      <c r="R39" s="177">
        <v>0.5</v>
      </c>
      <c r="S39" s="197">
        <v>0</v>
      </c>
      <c r="T39" s="190">
        <f t="shared" si="4"/>
        <v>22.5</v>
      </c>
      <c r="U39" s="194">
        <f t="shared" si="1"/>
        <v>17</v>
      </c>
    </row>
    <row r="40" spans="1:21" ht="16.5" thickBot="1" x14ac:dyDescent="0.3">
      <c r="A40" s="134">
        <v>2425</v>
      </c>
      <c r="B40" s="146" t="s">
        <v>44</v>
      </c>
      <c r="C40" s="147" t="s">
        <v>118</v>
      </c>
      <c r="D40" s="137">
        <v>40422</v>
      </c>
      <c r="E40" s="170"/>
      <c r="F40" s="200"/>
      <c r="G40" s="208">
        <v>6</v>
      </c>
      <c r="H40" s="208"/>
      <c r="I40" s="44"/>
      <c r="J40" s="44"/>
      <c r="K40" s="44"/>
      <c r="L40" s="44"/>
      <c r="M40" s="44"/>
      <c r="N40" s="44"/>
      <c r="O40" s="44"/>
      <c r="P40" s="157"/>
      <c r="Q40" s="167">
        <f t="shared" si="0"/>
        <v>6</v>
      </c>
      <c r="R40" s="178">
        <v>0.5</v>
      </c>
      <c r="S40" s="197">
        <v>0</v>
      </c>
      <c r="T40" s="189">
        <f t="shared" si="4"/>
        <v>22.5</v>
      </c>
      <c r="U40" s="194">
        <f t="shared" si="1"/>
        <v>17</v>
      </c>
    </row>
    <row r="41" spans="1:21" ht="16.5" thickBot="1" x14ac:dyDescent="0.3">
      <c r="A41" s="134">
        <v>7792</v>
      </c>
      <c r="B41" s="135" t="s">
        <v>119</v>
      </c>
      <c r="C41" s="138" t="s">
        <v>118</v>
      </c>
      <c r="D41" s="137">
        <v>45877</v>
      </c>
      <c r="E41" s="170"/>
      <c r="F41" s="200"/>
      <c r="G41" s="208">
        <v>6</v>
      </c>
      <c r="H41" s="208"/>
      <c r="I41" s="44"/>
      <c r="J41" s="44"/>
      <c r="K41" s="44"/>
      <c r="L41" s="44"/>
      <c r="M41" s="44"/>
      <c r="N41" s="44"/>
      <c r="O41" s="44"/>
      <c r="P41" s="157"/>
      <c r="Q41" s="167">
        <f t="shared" si="0"/>
        <v>6</v>
      </c>
      <c r="R41" s="174">
        <v>2</v>
      </c>
      <c r="S41" s="197">
        <v>0</v>
      </c>
      <c r="T41" s="191">
        <v>21</v>
      </c>
      <c r="U41" s="194">
        <f t="shared" si="1"/>
        <v>17</v>
      </c>
    </row>
    <row r="42" spans="1:21" ht="16.5" thickBot="1" x14ac:dyDescent="0.3">
      <c r="A42" s="139">
        <v>937</v>
      </c>
      <c r="B42" s="140" t="s">
        <v>21</v>
      </c>
      <c r="C42" s="141" t="s">
        <v>120</v>
      </c>
      <c r="D42" s="137">
        <v>36962</v>
      </c>
      <c r="E42" s="170"/>
      <c r="F42" s="200"/>
      <c r="G42" s="208">
        <v>6</v>
      </c>
      <c r="H42" s="208"/>
      <c r="I42" s="44"/>
      <c r="J42" s="44"/>
      <c r="K42" s="44"/>
      <c r="L42" s="44"/>
      <c r="M42" s="44"/>
      <c r="N42" s="44"/>
      <c r="O42" s="44"/>
      <c r="P42" s="157"/>
      <c r="Q42" s="167">
        <f t="shared" si="0"/>
        <v>6</v>
      </c>
      <c r="R42" s="176">
        <v>0</v>
      </c>
      <c r="S42" s="197">
        <v>0</v>
      </c>
      <c r="T42" s="190">
        <v>24</v>
      </c>
      <c r="U42" s="194">
        <f t="shared" si="1"/>
        <v>18</v>
      </c>
    </row>
    <row r="43" spans="1:21" ht="16.5" thickBot="1" x14ac:dyDescent="0.3">
      <c r="A43" s="134">
        <v>2429</v>
      </c>
      <c r="B43" s="146" t="s">
        <v>47</v>
      </c>
      <c r="C43" s="147" t="s">
        <v>121</v>
      </c>
      <c r="D43" s="137">
        <v>40422</v>
      </c>
      <c r="E43" s="170"/>
      <c r="F43" s="200"/>
      <c r="G43" s="208"/>
      <c r="H43" s="208"/>
      <c r="I43" s="44"/>
      <c r="J43" s="44"/>
      <c r="K43" s="44"/>
      <c r="L43" s="44"/>
      <c r="M43" s="44"/>
      <c r="N43" s="44"/>
      <c r="O43" s="44"/>
      <c r="P43" s="157"/>
      <c r="Q43" s="167">
        <f t="shared" si="0"/>
        <v>0</v>
      </c>
      <c r="R43" s="175">
        <v>0.5</v>
      </c>
      <c r="S43" s="197">
        <f t="shared" si="2"/>
        <v>0.5</v>
      </c>
      <c r="T43" s="189">
        <f>21+1.5</f>
        <v>22.5</v>
      </c>
      <c r="U43" s="194">
        <f t="shared" si="1"/>
        <v>23</v>
      </c>
    </row>
    <row r="44" spans="1:21" ht="16.5" thickBot="1" x14ac:dyDescent="0.3">
      <c r="A44" s="139">
        <v>941</v>
      </c>
      <c r="B44" s="151" t="s">
        <v>23</v>
      </c>
      <c r="C44" s="152" t="s">
        <v>122</v>
      </c>
      <c r="D44" s="137">
        <v>37043</v>
      </c>
      <c r="E44" s="203">
        <v>5</v>
      </c>
      <c r="F44" s="204"/>
      <c r="G44" s="228"/>
      <c r="H44" s="228">
        <v>4</v>
      </c>
      <c r="I44" s="160"/>
      <c r="J44" s="160"/>
      <c r="K44" s="160"/>
      <c r="L44" s="160"/>
      <c r="M44" s="160"/>
      <c r="N44" s="160"/>
      <c r="O44" s="160"/>
      <c r="P44" s="161"/>
      <c r="Q44" s="168">
        <f t="shared" si="0"/>
        <v>9</v>
      </c>
      <c r="R44" s="179">
        <v>5</v>
      </c>
      <c r="S44" s="198">
        <v>0</v>
      </c>
      <c r="T44" s="192">
        <v>26</v>
      </c>
      <c r="U44" s="195">
        <f t="shared" si="1"/>
        <v>22</v>
      </c>
    </row>
    <row r="45" spans="1:21" ht="15.75" thickBot="1" x14ac:dyDescent="0.3">
      <c r="A45" s="153"/>
      <c r="B45" s="154" t="s">
        <v>123</v>
      </c>
      <c r="C45" s="154"/>
      <c r="D45" s="159"/>
      <c r="E45" s="205">
        <f>+E44+E28+E26+E19+E11</f>
        <v>32.5</v>
      </c>
      <c r="F45" s="206">
        <f>+F33+F31+F28+F27+F26+F25+F24+F16+F12+F9+F6+F5+F4</f>
        <v>52</v>
      </c>
      <c r="G45" s="162"/>
      <c r="H45" s="206"/>
      <c r="I45" s="162"/>
      <c r="J45" s="162"/>
      <c r="K45" s="162"/>
      <c r="L45" s="162"/>
      <c r="M45" s="162"/>
      <c r="N45" s="162"/>
      <c r="O45" s="162"/>
      <c r="P45" s="163"/>
      <c r="Q45" s="169">
        <f>SUM(Q3:Q44)</f>
        <v>246</v>
      </c>
      <c r="R45" s="164">
        <f>SUM(R3:R44)</f>
        <v>143.5</v>
      </c>
      <c r="S45" s="196">
        <f>SUM(S3:S44)</f>
        <v>18</v>
      </c>
      <c r="T45" s="180">
        <f>SUM(T3:T44)</f>
        <v>904.5</v>
      </c>
      <c r="U45" s="165">
        <f>SUM(U3:U44)</f>
        <v>802</v>
      </c>
    </row>
  </sheetData>
  <mergeCells count="8">
    <mergeCell ref="U1:U2"/>
    <mergeCell ref="A1:A2"/>
    <mergeCell ref="B1:B2"/>
    <mergeCell ref="C1:C2"/>
    <mergeCell ref="Q1:Q2"/>
    <mergeCell ref="R1:R2"/>
    <mergeCell ref="T1:T2"/>
    <mergeCell ref="S1:S2"/>
  </mergeCells>
  <dataValidations count="1">
    <dataValidation type="date" allowBlank="1" showInputMessage="1" showErrorMessage="1" error="Attention! la date que vous venez de saisir est non valide. Le format de saisie doit être jj/mm/aa" sqref="D3 D41:D42 D5:D7 D9:D21 D23:D37" xr:uid="{1940B164-E944-46C3-B55A-654D99310DEE}">
      <formula1>21916</formula1>
      <formula2>$DV$8</formula2>
    </dataValidation>
  </dataValidation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7513BBA331F4C964ACAE49891659D" ma:contentTypeVersion="12" ma:contentTypeDescription="Create a new document." ma:contentTypeScope="" ma:versionID="d09224f41469968c69be7992aaa718f1">
  <xsd:schema xmlns:xsd="http://www.w3.org/2001/XMLSchema" xmlns:xs="http://www.w3.org/2001/XMLSchema" xmlns:p="http://schemas.microsoft.com/office/2006/metadata/properties" xmlns:ns3="dc189c0f-d569-423c-8bd8-1cb2ef291c21" targetNamespace="http://schemas.microsoft.com/office/2006/metadata/properties" ma:root="true" ma:fieldsID="a23b748d5512d0661139f9a0d6851d0c" ns3:_="">
    <xsd:import namespace="dc189c0f-d569-423c-8bd8-1cb2ef291c2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MediaServiceLocation" minOccurs="0"/>
                <xsd:element ref="ns3:MediaServiceBillingMetadata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189c0f-d569-423c-8bd8-1cb2ef291c2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189c0f-d569-423c-8bd8-1cb2ef291c21" xsi:nil="true"/>
  </documentManagement>
</p:properties>
</file>

<file path=customXml/itemProps1.xml><?xml version="1.0" encoding="utf-8"?>
<ds:datastoreItem xmlns:ds="http://schemas.openxmlformats.org/officeDocument/2006/customXml" ds:itemID="{2B26C89A-2E93-4A9B-819E-D1EC8564D9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189c0f-d569-423c-8bd8-1cb2ef291c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AA6C2C-1214-4927-9979-113A2D4502E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C24A3E-6A2C-40E5-B34D-1555475543C6}">
  <ds:schemaRefs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dc189c0f-d569-423c-8bd8-1cb2ef291c21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JANVIER 2026</vt:lpstr>
      <vt:lpstr>FEVRIER 2026</vt:lpstr>
      <vt:lpstr>MARS 2026</vt:lpstr>
      <vt:lpstr>AVRIL 2026</vt:lpstr>
      <vt:lpstr>ETAT NAVETTE 2026</vt:lpstr>
      <vt:lpstr>CONGE 2026</vt:lpstr>
    </vt:vector>
  </TitlesOfParts>
  <Company>ACCOR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MESSOUR Rim</dc:creator>
  <cp:lastModifiedBy>Younes SAHBI</cp:lastModifiedBy>
  <cp:lastPrinted>2026-03-26T15:16:24Z</cp:lastPrinted>
  <dcterms:created xsi:type="dcterms:W3CDTF">2026-01-15T12:15:47Z</dcterms:created>
  <dcterms:modified xsi:type="dcterms:W3CDTF">2026-05-11T00:28:39Z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0x0101006BB7513BBA331F4C964ACAE49891659D</vt:lpwstr>
  </property>
</Properties>
</file>